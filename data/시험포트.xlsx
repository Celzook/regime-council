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포지션" sheetId="2" state="visible" r:id="rId2"/>
    <sheet xmlns:r="http://schemas.openxmlformats.org/officeDocument/2006/relationships" name="구성종목" sheetId="3" state="visible" r:id="rId3"/>
    <sheet xmlns:r="http://schemas.openxmlformats.org/officeDocument/2006/relationships" name="한도(체험용 가안)" sheetId="4" state="visible" r:id="rId4"/>
    <sheet xmlns:r="http://schemas.openxmlformats.org/officeDocument/2006/relationships" name="가정·출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"/>
    <numFmt numFmtId="166" formatCode="#,##0;(#,##0);-"/>
    <numFmt numFmtId="167" formatCode="#,##0.0;(#,##0.0);-"/>
    <numFmt numFmtId="168" formatCode="0.0%;(0.0%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3A3A3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166" fontId="5" fillId="0" borderId="0" pivotButton="0" quotePrefix="0" xfId="0"/>
    <xf numFmtId="167" fontId="4" fillId="0" borderId="0" pivotButton="0" quotePrefix="0" xfId="0"/>
    <xf numFmtId="0" fontId="3" fillId="4" borderId="0" pivotButton="0" quotePrefix="0" xfId="0"/>
    <xf numFmtId="166" fontId="3" fillId="4" borderId="0" pivotButton="0" quotePrefix="0" xfId="0"/>
    <xf numFmtId="167" fontId="3" fillId="4" borderId="0" pivotButton="0" quotePrefix="0" xfId="0"/>
    <xf numFmtId="168" fontId="4" fillId="0" borderId="0" pivotButton="0" quotePrefix="0" xfId="0"/>
    <xf numFmtId="168" fontId="5" fillId="0" borderId="0" pivotButton="0" quotePrefix="0" xfId="0"/>
    <xf numFmtId="168" fontId="3" fillId="4" borderId="0" pivotButton="0" quotePrefix="0" xfId="0"/>
    <xf numFmtId="0" fontId="0" fillId="4" borderId="0" pivotButton="0" quotePrefix="0" xfId="0"/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7" fontId="4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2" fontId="4" fillId="0" borderId="1" applyAlignment="1" pivotButton="0" quotePrefix="0" xfId="0">
      <alignment vertical="top"/>
    </xf>
    <xf numFmtId="168" fontId="5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9" fontId="5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1" fontId="5" fillId="0" borderId="1" applyAlignment="1" pivotButton="0" quotePrefix="0" xfId="0">
      <alignment vertical="top"/>
    </xf>
    <xf numFmtId="168" fontId="7" fillId="0" borderId="1" applyAlignment="1" pivotButton="0" quotePrefix="0" xfId="0">
      <alignment vertical="top"/>
    </xf>
    <xf numFmtId="0" fontId="4" fillId="0" borderId="1" pivotButton="0" quotePrefix="0" xfId="0"/>
    <xf numFmtId="0" fontId="5" fillId="0" borderId="1" pivotButton="0" quotePrefix="0" xfId="0"/>
    <xf numFmtId="167" fontId="5" fillId="0" borderId="1" pivotButton="0" quotePrefix="0" xfId="0"/>
    <xf numFmtId="4" fontId="5" fillId="0" borderId="1" pivotButton="0" quotePrefix="0" xfId="0"/>
    <xf numFmtId="1" fontId="5" fillId="0" borderId="1" pivotButton="0" quotePrefix="0" xfId="0"/>
    <xf numFmtId="166" fontId="5" fillId="0" borderId="1" pivotButton="0" quotePrefix="0" xfId="0"/>
    <xf numFmtId="167" fontId="4" fillId="0" borderId="1" pivotButton="0" quotePrefix="0" xfId="0"/>
    <xf numFmtId="1" fontId="4" fillId="0" borderId="1" pivotButton="0" quotePrefix="0" xfId="0"/>
    <xf numFmtId="2" fontId="5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4" fontId="7" fillId="0" borderId="1" pivotButton="0" quotePrefix="0" xfId="0"/>
    <xf numFmtId="4" fontId="5" fillId="2" borderId="0" pivotButton="0" quotePrefix="0" xfId="0"/>
    <xf numFmtId="164" fontId="5" fillId="2" borderId="0" pivotButton="0" quotePrefix="0" xfId="0"/>
    <xf numFmtId="2" fontId="5" fillId="2" borderId="0" pivotButton="0" quotePrefix="0" xfId="0"/>
    <xf numFmtId="165" fontId="5" fillId="2" borderId="0" pivotButton="0" quotePrefix="0" xfId="0"/>
    <xf numFmtId="166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build_book</author>
  </authors>
  <commentList>
    <comment ref="B9" authorId="0" shapeId="0">
      <text>
        <t>금액 합계 = 주식+채권(현금 운용분). 환은 명목이라 제외, 손익 합계에는 포함</t>
      </text>
    </comment>
  </commentList>
</comments>
</file>

<file path=xl/comments/comment2.xml><?xml version="1.0" encoding="utf-8"?>
<comments xmlns="http://schemas.openxmlformats.org/spreadsheetml/2006/main">
  <authors>
    <author>build_book</author>
  </authors>
  <commentList>
    <comment ref="H4" authorId="0" shapeId="0">
      <text>
        <t>참고용 계획치. 시스템은 수량·진입가를 쓴다</t>
      </text>
    </comment>
    <comment ref="L4" authorId="0" shapeId="0">
      <text>
        <t>계획 금액 ÷ (진입가 × 환율 × 승수)를 반올림한 값. 실제 체결 수량으로 바꿔 입력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</cols>
  <sheetData>
    <row r="1">
      <c r="A1" s="1" t="inlineStr">
        <is>
          <t>Active 운용 5,000억 — 시험 포트폴리오 (가상)</t>
        </is>
      </c>
    </row>
    <row r="2">
      <c r="A2" s="2" t="inlineStr">
        <is>
          <t>가상 설정 · 진입 2026-10-20 · 실존 상품만 · 실제 조직·계획·보유와 무관, 투자·매매 지시 아님</t>
        </is>
      </c>
    </row>
    <row r="4">
      <c r="A4" s="3" t="inlineStr">
        <is>
          <t>자산별</t>
        </is>
      </c>
    </row>
    <row r="5" ht="30" customHeight="1">
      <c r="A5" s="4" t="inlineStr">
        <is>
          <t>자산</t>
        </is>
      </c>
      <c r="B5" s="4" t="inlineStr">
        <is>
          <t>운용 규모(가정, 억원)</t>
        </is>
      </c>
      <c r="C5" s="4" t="inlineStr">
        <is>
          <t>편입 롱 금액(억원)</t>
        </is>
      </c>
      <c r="D5" s="4" t="inlineStr">
        <is>
          <t>숏·헤지 금액(억원)</t>
        </is>
      </c>
      <c r="E5" s="4" t="inlineStr">
        <is>
          <t>모든 포지션 목표 도달 시(억원)</t>
        </is>
      </c>
      <c r="F5" s="4" t="inlineStr">
        <is>
          <t>모든 포지션 손절 시(억원)</t>
        </is>
      </c>
    </row>
    <row r="6">
      <c r="A6" s="5" t="inlineStr">
        <is>
          <t>주식</t>
        </is>
      </c>
      <c r="B6" s="6" t="n">
        <v>2000</v>
      </c>
      <c r="C6" s="7">
        <f>SUMIFS(포지션!$F$5:$F$20,포지션!$B$5:$B$20,"주식")</f>
        <v/>
      </c>
      <c r="D6" s="7">
        <f>SUMIFS(포지션!$G$5:$G$20,포지션!$B$5:$B$20,"주식")</f>
        <v/>
      </c>
      <c r="E6" s="7">
        <f>SUMIFS(포지션!$M$5:$M$20,포지션!$B$5:$B$20,"주식")</f>
        <v/>
      </c>
      <c r="F6" s="7">
        <f>SUMIFS(포지션!$N$5:$N$20,포지션!$B$5:$B$20,"주식")</f>
        <v/>
      </c>
    </row>
    <row r="7">
      <c r="A7" s="5" t="inlineStr">
        <is>
          <t>채권</t>
        </is>
      </c>
      <c r="B7" s="6" t="n">
        <v>3000</v>
      </c>
      <c r="C7" s="7">
        <f>SUMIFS(포지션!$F$5:$F$20,포지션!$B$5:$B$20,"채권")</f>
        <v/>
      </c>
      <c r="D7" s="7">
        <f>SUMIFS(포지션!$G$5:$G$20,포지션!$B$5:$B$20,"채권")</f>
        <v/>
      </c>
      <c r="E7" s="7">
        <f>SUMIFS(포지션!$M$5:$M$20,포지션!$B$5:$B$20,"채권")</f>
        <v/>
      </c>
      <c r="F7" s="7">
        <f>SUMIFS(포지션!$N$5:$N$20,포지션!$B$5:$B$20,"채권")</f>
        <v/>
      </c>
    </row>
    <row r="8">
      <c r="A8" s="5" t="inlineStr">
        <is>
          <t>환 (오버레이 한도, 명목)</t>
        </is>
      </c>
      <c r="B8" s="6" t="n">
        <v>1000</v>
      </c>
      <c r="C8" s="7">
        <f>SUMIFS(포지션!$F$5:$F$20,포지션!$B$5:$B$20,"환")</f>
        <v/>
      </c>
      <c r="D8" s="7">
        <f>SUMIFS(포지션!$G$5:$G$20,포지션!$B$5:$B$20,"환")</f>
        <v/>
      </c>
      <c r="E8" s="7">
        <f>SUMIFS(포지션!$M$5:$M$20,포지션!$B$5:$B$20,"환")</f>
        <v/>
      </c>
      <c r="F8" s="7">
        <f>SUMIFS(포지션!$N$5:$N$20,포지션!$B$5:$B$20,"환")</f>
        <v/>
      </c>
    </row>
    <row r="9">
      <c r="A9" s="8" t="inlineStr">
        <is>
          <t>합계</t>
        </is>
      </c>
      <c r="B9" s="9">
        <f>B6+B7</f>
        <v/>
      </c>
      <c r="C9" s="10">
        <f>C6+C7</f>
        <v/>
      </c>
      <c r="D9" s="10">
        <f>D6+D7</f>
        <v/>
      </c>
      <c r="E9" s="10">
        <f>SUM(E6:E8)</f>
        <v/>
      </c>
      <c r="F9" s="10">
        <f>SUM(F6:F8)</f>
        <v/>
      </c>
    </row>
    <row r="11">
      <c r="A11" s="3" t="inlineStr">
        <is>
          <t>전략별 (롱 금액 기준, 환 제외)</t>
        </is>
      </c>
    </row>
    <row r="12" ht="30" customHeight="1">
      <c r="A12" s="4" t="inlineStr">
        <is>
          <t>전략</t>
        </is>
      </c>
      <c r="B12" s="4" t="inlineStr">
        <is>
          <t>롱 금액(억원)</t>
        </is>
      </c>
      <c r="C12" s="4" t="inlineStr">
        <is>
          <t>비중</t>
        </is>
      </c>
      <c r="D12" s="4" t="inlineStr">
        <is>
          <t>목표 배분(가정)</t>
        </is>
      </c>
    </row>
    <row r="13">
      <c r="A13" s="5" t="inlineStr">
        <is>
          <t>마켓타이밍</t>
        </is>
      </c>
      <c r="B13" s="7">
        <f>SUMIFS(포지션!$F$5:$F$20,포지션!$C$5:$C$20,"마켓타이밍",포지션!$B$5:$B$20,"&lt;&gt;환")</f>
        <v/>
      </c>
      <c r="C13" s="11">
        <f>IF($B$18=0,0,B13/$B$18)</f>
        <v/>
      </c>
      <c r="D13" s="12" t="n">
        <v>0.3</v>
      </c>
    </row>
    <row r="14">
      <c r="A14" s="5" t="inlineStr">
        <is>
          <t>상대가치</t>
        </is>
      </c>
      <c r="B14" s="7">
        <f>SUMIFS(포지션!$F$5:$F$20,포지션!$C$5:$C$20,"상대가치",포지션!$B$5:$B$20,"&lt;&gt;환")</f>
        <v/>
      </c>
      <c r="C14" s="11">
        <f>IF($B$18=0,0,B14/$B$18)</f>
        <v/>
      </c>
      <c r="D14" s="12" t="n">
        <v>0.45</v>
      </c>
    </row>
    <row r="15">
      <c r="A15" s="5" t="inlineStr">
        <is>
          <t>이벤트 드리븐</t>
        </is>
      </c>
      <c r="B15" s="7">
        <f>SUMIFS(포지션!$F$5:$F$20,포지션!$C$5:$C$20,"이벤트 드리븐",포지션!$B$5:$B$20,"&lt;&gt;환")</f>
        <v/>
      </c>
      <c r="C15" s="11">
        <f>IF($B$18=0,0,B15/$B$18)</f>
        <v/>
      </c>
      <c r="D15" s="12" t="n">
        <v>0.25</v>
      </c>
    </row>
    <row r="16">
      <c r="A16" s="5" t="inlineStr">
        <is>
          <t>자금기반 Arbitrage</t>
        </is>
      </c>
      <c r="B16" s="7">
        <f>SUMIFS(포지션!$F$5:$F$20,포지션!$C$5:$C$20,"자금기반 Arbitrage",포지션!$B$5:$B$20,"&lt;&gt;환")</f>
        <v/>
      </c>
      <c r="C16" s="11">
        <f>IF($B$18=0,0,B16/$B$18)</f>
        <v/>
      </c>
      <c r="D16" s="2" t="inlineStr">
        <is>
          <t>목표 외</t>
        </is>
      </c>
    </row>
    <row r="17">
      <c r="A17" s="5" t="inlineStr">
        <is>
          <t>위탁 대용</t>
        </is>
      </c>
      <c r="B17" s="7">
        <f>SUMIFS(포지션!$F$5:$F$20,포지션!$C$5:$C$20,"위탁 대용",포지션!$B$5:$B$20,"&lt;&gt;환")</f>
        <v/>
      </c>
      <c r="C17" s="11">
        <f>IF($B$18=0,0,B17/$B$18)</f>
        <v/>
      </c>
      <c r="D17" s="2" t="inlineStr">
        <is>
          <t>목표 외</t>
        </is>
      </c>
    </row>
    <row r="18">
      <c r="A18" s="8" t="inlineStr">
        <is>
          <t>합계</t>
        </is>
      </c>
      <c r="B18" s="10">
        <f>SUM(B13:B17)</f>
        <v/>
      </c>
      <c r="C18" s="13">
        <f>SUM(C13:C17)</f>
        <v/>
      </c>
      <c r="D18" s="14" t="n"/>
    </row>
    <row r="20">
      <c r="A20" s="2" t="inlineStr">
        <is>
          <t>읽는 법: '모든 포지션 목표 도달 시'는 모든 포지션이 목표에 닿았을 때의 상한 시나리오, '전 포지션 손절 시'는 모두 손절됐을 때의 하한 시나리오. 실제 기대 손익은 그 사이이며, 손절 손익 합은 '한도' 시트의 손실한도와 비교한다.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3" customWidth="1" min="3" max="3"/>
    <col width="9" customWidth="1" min="4" max="4"/>
    <col width="42" customWidth="1" min="5" max="5"/>
    <col width="11" customWidth="1" min="6" max="6"/>
    <col width="11" customWidth="1" min="7" max="7"/>
    <col width="11" customWidth="1" min="8" max="8"/>
    <col width="8" customWidth="1" min="9" max="9"/>
    <col width="11" customWidth="1" min="10" max="10"/>
    <col width="8" customWidth="1" min="11" max="11"/>
    <col width="8" customWidth="1" min="12" max="12"/>
    <col width="11" customWidth="1" min="13" max="13"/>
    <col width="11" customWidth="1" min="14" max="14"/>
    <col width="50" customWidth="1" min="15" max="15"/>
    <col width="50" customWidth="1" min="16" max="16"/>
    <col width="46" customWidth="1" min="17" max="17"/>
    <col width="9" customWidth="1" min="18" max="18"/>
    <col width="8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포지션 — 시스템이 한도·손절을 관리하는 단위</t>
        </is>
      </c>
    </row>
    <row r="2">
      <c r="A2" s="2" t="inlineStr">
        <is>
          <t>금액·순베타·순듀레이션·손익은 구성종목에서 수식으로 집계. 환헤지·목표·손절·엔진 칸은 입력값.</t>
        </is>
      </c>
    </row>
    <row r="4" ht="30" customHeight="1">
      <c r="A4" s="4" t="inlineStr">
        <is>
          <t>포지션ID</t>
        </is>
      </c>
      <c r="B4" s="4" t="inlineStr">
        <is>
          <t>자산</t>
        </is>
      </c>
      <c r="C4" s="4" t="inlineStr">
        <is>
          <t>전략</t>
        </is>
      </c>
      <c r="D4" s="4" t="inlineStr">
        <is>
          <t>운용</t>
        </is>
      </c>
      <c r="E4" s="4" t="inlineStr">
        <is>
          <t>포지션명</t>
        </is>
      </c>
      <c r="F4" s="4" t="inlineStr">
        <is>
          <t>롱 금액(억원)</t>
        </is>
      </c>
      <c r="G4" s="4" t="inlineStr">
        <is>
          <t>숏 금액(억원)</t>
        </is>
      </c>
      <c r="H4" s="4" t="inlineStr">
        <is>
          <t>순노출(억원)</t>
        </is>
      </c>
      <c r="I4" s="4" t="inlineStr">
        <is>
          <t>환헤지</t>
        </is>
      </c>
      <c r="J4" s="4" t="inlineStr">
        <is>
          <t>순베타 / 순듀레이션</t>
        </is>
      </c>
      <c r="K4" s="4" t="inlineStr">
        <is>
          <t>목표</t>
        </is>
      </c>
      <c r="L4" s="4" t="inlineStr">
        <is>
          <t>손절</t>
        </is>
      </c>
      <c r="M4" s="4" t="inlineStr">
        <is>
          <t>목표 손익(억원)</t>
        </is>
      </c>
      <c r="N4" s="4" t="inlineStr">
        <is>
          <t>손절 손익(억원)</t>
        </is>
      </c>
      <c r="O4" s="4" t="inlineStr">
        <is>
          <t>투자 논리</t>
        </is>
      </c>
      <c r="P4" s="4" t="inlineStr">
        <is>
          <t>반증 조건·주의</t>
        </is>
      </c>
      <c r="Q4" s="4" t="inlineStr">
        <is>
          <t>근거 데이터(기준일)</t>
        </is>
      </c>
      <c r="R4" s="4" t="inlineStr">
        <is>
          <t>엔진구분</t>
        </is>
      </c>
      <c r="S4" s="4" t="inlineStr">
        <is>
          <t>노출통화</t>
        </is>
      </c>
      <c r="T4" s="4" t="inlineStr">
        <is>
          <t>스프레드 듀레이션</t>
        </is>
      </c>
      <c r="U4" s="4" t="inlineStr">
        <is>
          <t>스프레드 베타</t>
        </is>
      </c>
      <c r="V4" s="4" t="inlineStr">
        <is>
          <t>주식 비중(혼합, %)</t>
        </is>
      </c>
    </row>
    <row r="5" ht="42" customHeight="1">
      <c r="A5" s="15" t="inlineStr">
        <is>
          <t>E1</t>
        </is>
      </c>
      <c r="B5" s="16" t="inlineStr">
        <is>
          <t>주식</t>
        </is>
      </c>
      <c r="C5" s="16" t="inlineStr">
        <is>
          <t>마켓타이밍</t>
        </is>
      </c>
      <c r="D5" s="16" t="inlineStr">
        <is>
          <t>직접</t>
        </is>
      </c>
      <c r="E5" s="17" t="inlineStr">
        <is>
          <t>삼성전자 롱</t>
        </is>
      </c>
      <c r="F5" s="18">
        <f>SUMIFS(구성종목!$M$5:$M$25,구성종목!$B$5:$B$25,A5,구성종목!$G$5:$G$25,"롱")</f>
        <v/>
      </c>
      <c r="G5" s="18">
        <f>SUMIFS(구성종목!$M$5:$M$25,구성종목!$B$5:$B$25,A5,구성종목!$G$5:$G$25,"숏")</f>
        <v/>
      </c>
      <c r="H5" s="18">
        <f>F5-G5</f>
        <v/>
      </c>
      <c r="I5" s="19" t="n"/>
      <c r="J5" s="20">
        <f>IF(F5=0,0,SUMPRODUCT((구성종목!$B$5:$B$25=A5)*구성종목!$O$5:$O$25*구성종목!$P$5:$P$25)/F5)</f>
        <v/>
      </c>
      <c r="K5" s="21" t="n">
        <v>0.2</v>
      </c>
      <c r="L5" s="21" t="n">
        <v>-0.1</v>
      </c>
      <c r="M5" s="18">
        <f>F5*K5</f>
        <v/>
      </c>
      <c r="N5" s="18">
        <f>-F5*ABS(L5)</f>
        <v/>
      </c>
      <c r="O5" s="17" t="inlineStr">
        <is>
          <t>AI 메모리 사이클·주주환원. KOSPI 급락 구간 분할 진입</t>
        </is>
      </c>
      <c r="P5" s="17" t="inlineStr">
        <is>
          <t>메모리 가격 하락 전환·외국인 순매도 지속 시 재검토. KOSPI 일간 급변 이력([데이터 확인])으로 변동성 큼</t>
        </is>
      </c>
      <c r="Q5" s="22" t="inlineStr">
        <is>
          <t>KOSPI 1개월 −19.6%, 52주 고점 대비 −39.2% (analytics, 2026-10-20)</t>
        </is>
      </c>
      <c r="R5" s="23" t="inlineStr">
        <is>
          <t>equity</t>
        </is>
      </c>
      <c r="S5" s="23" t="inlineStr">
        <is>
          <t>KRW</t>
        </is>
      </c>
      <c r="T5" s="19" t="n"/>
      <c r="U5" s="19" t="n"/>
      <c r="V5" s="19" t="n"/>
    </row>
    <row r="6" ht="42" customHeight="1">
      <c r="A6" s="15" t="inlineStr">
        <is>
          <t>E2</t>
        </is>
      </c>
      <c r="B6" s="16" t="inlineStr">
        <is>
          <t>주식</t>
        </is>
      </c>
      <c r="C6" s="16" t="inlineStr">
        <is>
          <t>마켓타이밍</t>
        </is>
      </c>
      <c r="D6" s="16" t="inlineStr">
        <is>
          <t>직접</t>
        </is>
      </c>
      <c r="E6" s="17" t="inlineStr">
        <is>
          <t>SK하이닉스 롱</t>
        </is>
      </c>
      <c r="F6" s="18">
        <f>SUMIFS(구성종목!$M$5:$M$25,구성종목!$B$5:$B$25,A6,구성종목!$G$5:$G$25,"롱")</f>
        <v/>
      </c>
      <c r="G6" s="18">
        <f>SUMIFS(구성종목!$M$5:$M$25,구성종목!$B$5:$B$25,A6,구성종목!$G$5:$G$25,"숏")</f>
        <v/>
      </c>
      <c r="H6" s="18">
        <f>F6-G6</f>
        <v/>
      </c>
      <c r="I6" s="19" t="n"/>
      <c r="J6" s="20">
        <f>IF(F6=0,0,SUMPRODUCT((구성종목!$B$5:$B$25=A6)*구성종목!$O$5:$O$25*구성종목!$P$5:$P$25)/F6)</f>
        <v/>
      </c>
      <c r="K6" s="21" t="n">
        <v>0.2</v>
      </c>
      <c r="L6" s="21" t="n">
        <v>-0.1</v>
      </c>
      <c r="M6" s="18">
        <f>F6*K6</f>
        <v/>
      </c>
      <c r="N6" s="18">
        <f>-F6*ABS(L6)</f>
        <v/>
      </c>
      <c r="O6" s="17" t="inlineStr">
        <is>
          <t>AI 메모리(HBM) 이익 레버리지. 지수 급락 후 고베타로 반등 참여</t>
        </is>
      </c>
      <c r="P6" s="17" t="inlineStr">
        <is>
          <t>베타 1.39 — 하락 지속 시 손실 가장 빠름. 손절 엄수</t>
        </is>
      </c>
      <c r="Q6" s="22" t="inlineStr">
        <is>
          <t>베타 1.39 (1년, KODEX 200 대비)</t>
        </is>
      </c>
      <c r="R6" s="23" t="inlineStr">
        <is>
          <t>equity</t>
        </is>
      </c>
      <c r="S6" s="23" t="inlineStr">
        <is>
          <t>KRW</t>
        </is>
      </c>
      <c r="T6" s="19" t="n"/>
      <c r="U6" s="19" t="n"/>
      <c r="V6" s="19" t="n"/>
    </row>
    <row r="7" ht="42" customHeight="1">
      <c r="A7" s="15" t="inlineStr">
        <is>
          <t>E3</t>
        </is>
      </c>
      <c r="B7" s="16" t="inlineStr">
        <is>
          <t>주식</t>
        </is>
      </c>
      <c r="C7" s="16" t="inlineStr">
        <is>
          <t>마켓타이밍</t>
        </is>
      </c>
      <c r="D7" s="16" t="inlineStr">
        <is>
          <t>직접</t>
        </is>
      </c>
      <c r="E7" s="17" t="inlineStr">
        <is>
          <t>KOSPI200 롱 (KODEX 200)</t>
        </is>
      </c>
      <c r="F7" s="18">
        <f>SUMIFS(구성종목!$M$5:$M$25,구성종목!$B$5:$B$25,A7,구성종목!$G$5:$G$25,"롱")</f>
        <v/>
      </c>
      <c r="G7" s="18">
        <f>SUMIFS(구성종목!$M$5:$M$25,구성종목!$B$5:$B$25,A7,구성종목!$G$5:$G$25,"숏")</f>
        <v/>
      </c>
      <c r="H7" s="18">
        <f>F7-G7</f>
        <v/>
      </c>
      <c r="I7" s="19" t="n"/>
      <c r="J7" s="20">
        <f>IF(F7=0,0,SUMPRODUCT((구성종목!$B$5:$B$25=A7)*구성종목!$O$5:$O$25*구성종목!$P$5:$P$25)/F7)</f>
        <v/>
      </c>
      <c r="K7" s="21" t="n">
        <v>0.12</v>
      </c>
      <c r="L7" s="21" t="n">
        <v>-0.08</v>
      </c>
      <c r="M7" s="18">
        <f>F7*K7</f>
        <v/>
      </c>
      <c r="N7" s="18">
        <f>-F7*ABS(L7)</f>
        <v/>
      </c>
      <c r="O7" s="17" t="inlineStr">
        <is>
          <t>지수 급락 후 평균 회귀 기대. S&amp;P 는 고점 근처라 한국 고유 충격인지 확인하며 분할</t>
        </is>
      </c>
      <c r="P7" s="17" t="inlineStr">
        <is>
          <t>KOSPI−S&amp;P 3개월 −18.1%p 의 원인이 구조적(수급·정책)이면 반등 지연</t>
        </is>
      </c>
      <c r="Q7" s="22" t="inlineStr">
        <is>
          <t>KOSPI−S&amp;P 3개월 −18.1%p, VIX 18.4 (analytics, 10-19/20)</t>
        </is>
      </c>
      <c r="R7" s="23" t="inlineStr">
        <is>
          <t>equity</t>
        </is>
      </c>
      <c r="S7" s="23" t="inlineStr">
        <is>
          <t>KRW</t>
        </is>
      </c>
      <c r="T7" s="19" t="n"/>
      <c r="U7" s="19" t="n"/>
      <c r="V7" s="19" t="n"/>
    </row>
    <row r="8" ht="42" customHeight="1">
      <c r="A8" s="15" t="inlineStr">
        <is>
          <t>P1</t>
        </is>
      </c>
      <c r="B8" s="16" t="inlineStr">
        <is>
          <t>주식</t>
        </is>
      </c>
      <c r="C8" s="16" t="inlineStr">
        <is>
          <t>상대가치</t>
        </is>
      </c>
      <c r="D8" s="16" t="inlineStr">
        <is>
          <t>직접</t>
        </is>
      </c>
      <c r="E8" s="17" t="inlineStr">
        <is>
          <t>은행 밸류업 페어 (KB·신한 롱 / KOSPI200 선물 숏)</t>
        </is>
      </c>
      <c r="F8" s="18">
        <f>SUMIFS(구성종목!$M$5:$M$25,구성종목!$B$5:$B$25,A8,구성종목!$G$5:$G$25,"롱")</f>
        <v/>
      </c>
      <c r="G8" s="18">
        <f>SUMIFS(구성종목!$M$5:$M$25,구성종목!$B$5:$B$25,A8,구성종목!$G$5:$G$25,"숏")</f>
        <v/>
      </c>
      <c r="H8" s="18">
        <f>F8-G8</f>
        <v/>
      </c>
      <c r="I8" s="19" t="n"/>
      <c r="J8" s="20">
        <f>IF(F8=0,0,SUMPRODUCT((구성종목!$B$5:$B$25=A8)*구성종목!$O$5:$O$25*구성종목!$P$5:$P$25)/F8)</f>
        <v/>
      </c>
      <c r="K8" s="21" t="n">
        <v>0.1</v>
      </c>
      <c r="L8" s="21" t="n">
        <v>-0.05</v>
      </c>
      <c r="M8" s="18">
        <f>F8*K8</f>
        <v/>
      </c>
      <c r="N8" s="18">
        <f>-F8*ABS(L8)</f>
        <v/>
      </c>
      <c r="O8" s="17" t="inlineStr">
        <is>
          <t>저베타(0.19~0.26) 은행주의 주주환원 알파만 남기고 시장 위험은 선물로 제거</t>
        </is>
      </c>
      <c r="P8" s="17" t="inlineStr">
        <is>
          <t>베타 추정 오차(상관 0.3~0.4로 낮음) — 헤지가 정확하지 않을 수 있음</t>
        </is>
      </c>
      <c r="Q8" s="22" t="inlineStr">
        <is>
          <t>베타 KB 0.26·신한 0.19, 상관 0.4/0.3 (1년)</t>
        </is>
      </c>
      <c r="R8" s="23" t="inlineStr">
        <is>
          <t>equity</t>
        </is>
      </c>
      <c r="S8" s="23" t="inlineStr">
        <is>
          <t>KRW</t>
        </is>
      </c>
      <c r="T8" s="19" t="n"/>
      <c r="U8" s="19" t="n"/>
      <c r="V8" s="19" t="n"/>
    </row>
    <row r="9" ht="42" customHeight="1">
      <c r="A9" s="15" t="inlineStr">
        <is>
          <t>P2</t>
        </is>
      </c>
      <c r="B9" s="16" t="inlineStr">
        <is>
          <t>주식</t>
        </is>
      </c>
      <c r="C9" s="16" t="inlineStr">
        <is>
          <t>상대가치</t>
        </is>
      </c>
      <c r="D9" s="16" t="inlineStr">
        <is>
          <t>직접</t>
        </is>
      </c>
      <c r="E9" s="17" t="inlineStr">
        <is>
          <t>삼성전자 보통/우선 페어 (보통 롱 / 우선 숏)</t>
        </is>
      </c>
      <c r="F9" s="18">
        <f>SUMIFS(구성종목!$M$5:$M$25,구성종목!$B$5:$B$25,A9,구성종목!$G$5:$G$25,"롱")</f>
        <v/>
      </c>
      <c r="G9" s="18">
        <f>SUMIFS(구성종목!$M$5:$M$25,구성종목!$B$5:$B$25,A9,구성종목!$G$5:$G$25,"숏")</f>
        <v/>
      </c>
      <c r="H9" s="18">
        <f>F9-G9</f>
        <v/>
      </c>
      <c r="I9" s="19" t="n"/>
      <c r="J9" s="20">
        <f>IF(F9=0,0,SUMPRODUCT((구성종목!$B$5:$B$25=A9)*구성종목!$O$5:$O$25*구성종목!$P$5:$P$25)/F9)</f>
        <v/>
      </c>
      <c r="K9" s="21" t="n">
        <v>0.08</v>
      </c>
      <c r="L9" s="21" t="n">
        <v>-0.05</v>
      </c>
      <c r="M9" s="18">
        <f>F9*K9</f>
        <v/>
      </c>
      <c r="N9" s="18">
        <f>-F9*ABS(L9)</f>
        <v/>
      </c>
      <c r="O9" s="17" t="inlineStr">
        <is>
          <t>우선주/보통주 가격비가 1년 범위 최상단 → 우선주 할인 재확대(가격비 평균 회귀)에 베팅</t>
        </is>
      </c>
      <c r="P9" s="17" t="inlineStr">
        <is>
          <t>주주환원 정책으로 우선주 재평가가 구조적이면 가격비 고착. 우선주 대차 가능 물량 확인</t>
        </is>
      </c>
      <c r="Q9" s="22" t="inlineStr">
        <is>
          <t>가격비 0.784, 1년 백분위 98%·z +1.60, 1년 평균 0.715 (yfinance, 10-20)</t>
        </is>
      </c>
      <c r="R9" s="23" t="inlineStr">
        <is>
          <t>equity</t>
        </is>
      </c>
      <c r="S9" s="23" t="inlineStr">
        <is>
          <t>KRW</t>
        </is>
      </c>
      <c r="T9" s="19" t="n"/>
      <c r="U9" s="19" t="n"/>
      <c r="V9" s="19" t="n"/>
    </row>
    <row r="10" ht="42" customHeight="1">
      <c r="A10" s="15" t="inlineStr">
        <is>
          <t>P3</t>
        </is>
      </c>
      <c r="B10" s="16" t="inlineStr">
        <is>
          <t>주식</t>
        </is>
      </c>
      <c r="C10" s="16" t="inlineStr">
        <is>
          <t>상대가치</t>
        </is>
      </c>
      <c r="D10" s="16" t="inlineStr">
        <is>
          <t>직접</t>
        </is>
      </c>
      <c r="E10" s="17" t="inlineStr">
        <is>
          <t>현대차/기아 페어 (현대차 롱 / 기아 숏)</t>
        </is>
      </c>
      <c r="F10" s="18">
        <f>SUMIFS(구성종목!$M$5:$M$25,구성종목!$B$5:$B$25,A10,구성종목!$G$5:$G$25,"롱")</f>
        <v/>
      </c>
      <c r="G10" s="18">
        <f>SUMIFS(구성종목!$M$5:$M$25,구성종목!$B$5:$B$25,A10,구성종목!$G$5:$G$25,"숏")</f>
        <v/>
      </c>
      <c r="H10" s="18">
        <f>F10-G10</f>
        <v/>
      </c>
      <c r="I10" s="19" t="n"/>
      <c r="J10" s="20">
        <f>IF(F10=0,0,SUMPRODUCT((구성종목!$B$5:$B$25=A10)*구성종목!$O$5:$O$25*구성종목!$P$5:$P$25)/F10)</f>
        <v/>
      </c>
      <c r="K10" s="21" t="n">
        <v>0.1</v>
      </c>
      <c r="L10" s="21" t="n">
        <v>-0.05</v>
      </c>
      <c r="M10" s="18">
        <f>F10*K10</f>
        <v/>
      </c>
      <c r="N10" s="18">
        <f>-F10*ABS(L10)</f>
        <v/>
      </c>
      <c r="O10" s="17" t="inlineStr">
        <is>
          <t>가격비가 1년 평균 아래 — 평균 회귀 기대. 신호가 약해 소규모</t>
        </is>
      </c>
      <c r="P10" s="17" t="inlineStr">
        <is>
          <t>가격비 1년 범위가 넓음(2.23~4.39) — 약한 신호</t>
        </is>
      </c>
      <c r="Q10" s="22" t="inlineStr">
        <is>
          <t>가격비 2.758, 1년 백분위 23%·z −0.67 (yfinance, 10-20)</t>
        </is>
      </c>
      <c r="R10" s="23" t="inlineStr">
        <is>
          <t>equity</t>
        </is>
      </c>
      <c r="S10" s="23" t="inlineStr">
        <is>
          <t>KRW</t>
        </is>
      </c>
      <c r="T10" s="19" t="n"/>
      <c r="U10" s="19" t="n"/>
      <c r="V10" s="19" t="n"/>
    </row>
    <row r="11" ht="42" customHeight="1">
      <c r="A11" s="15" t="inlineStr">
        <is>
          <t>E8</t>
        </is>
      </c>
      <c r="B11" s="16" t="inlineStr">
        <is>
          <t>주식</t>
        </is>
      </c>
      <c r="C11" s="16" t="inlineStr">
        <is>
          <t>이벤트 드리븐</t>
        </is>
      </c>
      <c r="D11" s="16" t="inlineStr">
        <is>
          <t>직접</t>
        </is>
      </c>
      <c r="E11" s="17" t="inlineStr">
        <is>
          <t>미국 중간선거 후 S&amp;P500 롱 (SPY, 환헤지)</t>
        </is>
      </c>
      <c r="F11" s="18">
        <f>SUMIFS(구성종목!$M$5:$M$25,구성종목!$B$5:$B$25,A11,구성종목!$G$5:$G$25,"롱")</f>
        <v/>
      </c>
      <c r="G11" s="18">
        <f>SUMIFS(구성종목!$M$5:$M$25,구성종목!$B$5:$B$25,A11,구성종목!$G$5:$G$25,"숏")</f>
        <v/>
      </c>
      <c r="H11" s="18">
        <f>F11-G11</f>
        <v/>
      </c>
      <c r="I11" s="24" t="n">
        <v>1</v>
      </c>
      <c r="J11" s="20">
        <f>IF(F11=0,0,SUMPRODUCT((구성종목!$B$5:$B$25=A11)*구성종목!$O$5:$O$25*구성종목!$P$5:$P$25)/F11)</f>
        <v/>
      </c>
      <c r="K11" s="21" t="n">
        <v>0.1</v>
      </c>
      <c r="L11" s="21" t="n">
        <v>-0.05</v>
      </c>
      <c r="M11" s="18">
        <f>F11*K11</f>
        <v/>
      </c>
      <c r="N11" s="18">
        <f>-F11*ABS(L11)</f>
        <v/>
      </c>
      <c r="O11" s="17" t="inlineStr">
        <is>
          <t>중간선거(2026-11-03) 후 12개월 계절성. 환헤지로 주가 요인만</t>
        </is>
      </c>
      <c r="P11" s="17" t="inlineStr">
        <is>
          <t>S&amp;P 가 52주 고점 근처(−1.6%) — 선거 전 선반영 가능</t>
        </is>
      </c>
      <c r="Q11" s="22" t="inlineStr">
        <is>
          <t>SPY 52주 고점 대비 −1.6% (yfinance, 10-19)</t>
        </is>
      </c>
      <c r="R11" s="23" t="inlineStr">
        <is>
          <t>equity</t>
        </is>
      </c>
      <c r="S11" s="23" t="inlineStr">
        <is>
          <t>USD</t>
        </is>
      </c>
      <c r="T11" s="19" t="n"/>
      <c r="U11" s="19" t="n"/>
      <c r="V11" s="19" t="n"/>
    </row>
    <row r="12" ht="42" customHeight="1">
      <c r="A12" s="15" t="inlineStr">
        <is>
          <t>E9</t>
        </is>
      </c>
      <c r="B12" s="16" t="inlineStr">
        <is>
          <t>주식</t>
        </is>
      </c>
      <c r="C12" s="16" t="inlineStr">
        <is>
          <t>이벤트 드리븐</t>
        </is>
      </c>
      <c r="D12" s="16" t="inlineStr">
        <is>
          <t>직접</t>
        </is>
      </c>
      <c r="E12" s="17" t="inlineStr">
        <is>
          <t>연말 배당 시즌 고배당 ETF</t>
        </is>
      </c>
      <c r="F12" s="18">
        <f>SUMIFS(구성종목!$M$5:$M$25,구성종목!$B$5:$B$25,A12,구성종목!$G$5:$G$25,"롱")</f>
        <v/>
      </c>
      <c r="G12" s="18">
        <f>SUMIFS(구성종목!$M$5:$M$25,구성종목!$B$5:$B$25,A12,구성종목!$G$5:$G$25,"숏")</f>
        <v/>
      </c>
      <c r="H12" s="18">
        <f>F12-G12</f>
        <v/>
      </c>
      <c r="I12" s="19" t="n"/>
      <c r="J12" s="20">
        <f>IF(F12=0,0,SUMPRODUCT((구성종목!$B$5:$B$25=A12)*구성종목!$O$5:$O$25*구성종목!$P$5:$P$25)/F12)</f>
        <v/>
      </c>
      <c r="K12" s="21" t="n">
        <v>0.08</v>
      </c>
      <c r="L12" s="21" t="n">
        <v>-0.05</v>
      </c>
      <c r="M12" s="18">
        <f>F12*K12</f>
        <v/>
      </c>
      <c r="N12" s="18">
        <f>-F12*ABS(L12)</f>
        <v/>
      </c>
      <c r="O12" s="17" t="inlineStr">
        <is>
          <t>12월 결산 배당 전후 고배당주 수급 + 저베타(0.31)로 하락장 방어</t>
        </is>
      </c>
      <c r="P12" s="17" t="inlineStr">
        <is>
          <t>배당기준일 이후 하락(배당락) 전 청산 계획 필요</t>
        </is>
      </c>
      <c r="Q12" s="22" t="inlineStr">
        <is>
          <t>베타 0.31 (1년)</t>
        </is>
      </c>
      <c r="R12" s="23" t="inlineStr">
        <is>
          <t>equity</t>
        </is>
      </c>
      <c r="S12" s="23" t="inlineStr">
        <is>
          <t>KRW</t>
        </is>
      </c>
      <c r="T12" s="19" t="n"/>
      <c r="U12" s="19" t="n"/>
      <c r="V12" s="19" t="n"/>
    </row>
    <row r="13" ht="42" customHeight="1">
      <c r="A13" s="15" t="inlineStr">
        <is>
          <t>B1</t>
        </is>
      </c>
      <c r="B13" s="16" t="inlineStr">
        <is>
          <t>채권</t>
        </is>
      </c>
      <c r="C13" s="16" t="inlineStr">
        <is>
          <t>마켓타이밍</t>
        </is>
      </c>
      <c r="D13" s="16" t="inlineStr">
        <is>
          <t>직접</t>
        </is>
      </c>
      <c r="E13" s="17" t="inlineStr">
        <is>
          <t>미국채 7-10년 롱 (IEF, 환헤지)</t>
        </is>
      </c>
      <c r="F13" s="18">
        <f>SUMIFS(구성종목!$M$5:$M$25,구성종목!$B$5:$B$25,A13,구성종목!$G$5:$G$25,"롱")</f>
        <v/>
      </c>
      <c r="G13" s="18">
        <f>SUMIFS(구성종목!$M$5:$M$25,구성종목!$B$5:$B$25,A13,구성종목!$G$5:$G$25,"숏")</f>
        <v/>
      </c>
      <c r="H13" s="18">
        <f>F13-G13</f>
        <v/>
      </c>
      <c r="I13" s="24" t="n">
        <v>1</v>
      </c>
      <c r="J13" s="20">
        <f>IF(F13=0,0,SUMPRODUCT((구성종목!$B$5:$B$25=A13)*구성종목!$O$5:$O$25*구성종목!$Q$5:$Q$25)/F13)</f>
        <v/>
      </c>
      <c r="K13" s="21" t="n">
        <v>0.05</v>
      </c>
      <c r="L13" s="21" t="n">
        <v>-0.02</v>
      </c>
      <c r="M13" s="18">
        <f>F13*K13</f>
        <v/>
      </c>
      <c r="N13" s="18">
        <f>-F13*ABS(L13)</f>
        <v/>
      </c>
      <c r="O13" s="17" t="inlineStr">
        <is>
          <t>미국채 10년 금리 역사적 상단 — 인하 재개 시 하락 여지. 환헤지로 금리 요인만</t>
        </is>
      </c>
      <c r="P13" s="17" t="inlineStr">
        <is>
          <t>실질금리 상승(재정·기간프리미엄) 지속 시 손실. 헤지비용 미반영</t>
        </is>
      </c>
      <c r="Q13" s="22" t="inlineStr">
        <is>
          <t>미국채 10년 5.09%·5년 백분위 99%, 실질금리 2.74%·99% (analytics, 10-16/19)</t>
        </is>
      </c>
      <c r="R13" s="23" t="inlineStr">
        <is>
          <t>bond</t>
        </is>
      </c>
      <c r="S13" s="23" t="inlineStr">
        <is>
          <t>USD</t>
        </is>
      </c>
      <c r="T13" s="25" t="n">
        <v>0</v>
      </c>
      <c r="U13" s="25" t="n">
        <v>0</v>
      </c>
      <c r="V13" s="19" t="n"/>
    </row>
    <row r="14" ht="42" customHeight="1">
      <c r="A14" s="15" t="inlineStr">
        <is>
          <t>B2</t>
        </is>
      </c>
      <c r="B14" s="16" t="inlineStr">
        <is>
          <t>채권</t>
        </is>
      </c>
      <c r="C14" s="16" t="inlineStr">
        <is>
          <t>상대가치</t>
        </is>
      </c>
      <c r="D14" s="16" t="inlineStr">
        <is>
          <t>직접</t>
        </is>
      </c>
      <c r="E14" s="17" t="inlineStr">
        <is>
          <t>한미 10년 금리차 축소 (IEF 롱 / 10년 국채선물 숏)</t>
        </is>
      </c>
      <c r="F14" s="18">
        <f>SUMIFS(구성종목!$M$5:$M$25,구성종목!$B$5:$B$25,A14,구성종목!$G$5:$G$25,"롱")</f>
        <v/>
      </c>
      <c r="G14" s="18">
        <f>SUMIFS(구성종목!$M$5:$M$25,구성종목!$B$5:$B$25,A14,구성종목!$G$5:$G$25,"숏")</f>
        <v/>
      </c>
      <c r="H14" s="18">
        <f>F14-G14</f>
        <v/>
      </c>
      <c r="I14" s="24" t="n">
        <v>1</v>
      </c>
      <c r="J14" s="20">
        <f>IF(F14=0,0,SUMPRODUCT((구성종목!$B$5:$B$25=A14)*구성종목!$O$5:$O$25*구성종목!$Q$5:$Q$25)/F14)</f>
        <v/>
      </c>
      <c r="K14" s="21" t="n">
        <v>0.03</v>
      </c>
      <c r="L14" s="21" t="n">
        <v>-0.015</v>
      </c>
      <c r="M14" s="18">
        <f>F14*K14</f>
        <v/>
      </c>
      <c r="N14" s="18">
        <f>-F14*ABS(L14)</f>
        <v/>
      </c>
      <c r="O14" s="17" t="inlineStr">
        <is>
          <t>국고채 대비 해외 금리차 확대 → 축소 베팅. 듀레이션 중립</t>
        </is>
      </c>
      <c r="P14" s="17" t="inlineStr">
        <is>
          <t>한국 금리 하락(인하 기대)이 더 커지면 차이 확대 지속</t>
        </is>
      </c>
      <c r="Q14" s="22" t="inlineStr">
        <is>
          <t>한미 10년 금리차 −88.5bp, 3개월 −63bp 확대 (analytics, 10-19)</t>
        </is>
      </c>
      <c r="R14" s="23" t="inlineStr">
        <is>
          <t>bond</t>
        </is>
      </c>
      <c r="S14" s="23" t="inlineStr">
        <is>
          <t>USD</t>
        </is>
      </c>
      <c r="T14" s="25" t="n">
        <v>0</v>
      </c>
      <c r="U14" s="25" t="n">
        <v>0</v>
      </c>
      <c r="V14" s="19" t="n"/>
    </row>
    <row r="15" ht="42" customHeight="1">
      <c r="A15" s="15" t="inlineStr">
        <is>
          <t>B3</t>
        </is>
      </c>
      <c r="B15" s="16" t="inlineStr">
        <is>
          <t>채권</t>
        </is>
      </c>
      <c r="C15" s="16" t="inlineStr">
        <is>
          <t>이벤트 드리븐</t>
        </is>
      </c>
      <c r="D15" s="16" t="inlineStr">
        <is>
          <t>직접</t>
        </is>
      </c>
      <c r="E15" s="17" t="inlineStr">
        <is>
          <t>연초 효과 국내 크레딧 (AA- 이상 액티브 ETF)</t>
        </is>
      </c>
      <c r="F15" s="18">
        <f>SUMIFS(구성종목!$M$5:$M$25,구성종목!$B$5:$B$25,A15,구성종목!$G$5:$G$25,"롱")</f>
        <v/>
      </c>
      <c r="G15" s="18">
        <f>SUMIFS(구성종목!$M$5:$M$25,구성종목!$B$5:$B$25,A15,구성종목!$G$5:$G$25,"숏")</f>
        <v/>
      </c>
      <c r="H15" s="18">
        <f>F15-G15</f>
        <v/>
      </c>
      <c r="I15" s="19" t="n"/>
      <c r="J15" s="20">
        <f>IF(F15=0,0,SUMPRODUCT((구성종목!$B$5:$B$25=A15)*구성종목!$O$5:$O$25*구성종목!$Q$5:$Q$25)/F15)</f>
        <v/>
      </c>
      <c r="K15" s="21" t="n">
        <v>0.03</v>
      </c>
      <c r="L15" s="21" t="n">
        <v>-0.01</v>
      </c>
      <c r="M15" s="18">
        <f>F15*K15</f>
        <v/>
      </c>
      <c r="N15" s="18">
        <f>-F15*ABS(L15)</f>
        <v/>
      </c>
      <c r="O15" s="17" t="inlineStr">
        <is>
          <t>12월 북클로징으로 벌어진 크레딧 스프레드를 연초에 회수</t>
        </is>
      </c>
      <c r="P15" s="17" t="inlineStr">
        <is>
          <t>신용 사건으로 스프레드 확대 시 연초 효과 무력화</t>
        </is>
      </c>
      <c r="Q15" s="22" t="inlineStr">
        <is>
          <t>AA- 스프레드 68.3bp, 5년 백분위 58% (analytics, 10-19)</t>
        </is>
      </c>
      <c r="R15" s="23" t="inlineStr">
        <is>
          <t>bond</t>
        </is>
      </c>
      <c r="S15" s="23" t="inlineStr">
        <is>
          <t>KRW</t>
        </is>
      </c>
      <c r="T15" s="25" t="n">
        <v>3</v>
      </c>
      <c r="U15" s="25" t="n">
        <v>0.5</v>
      </c>
      <c r="V15" s="19" t="n"/>
    </row>
    <row r="16" ht="42" customHeight="1">
      <c r="A16" s="15" t="inlineStr">
        <is>
          <t>B4</t>
        </is>
      </c>
      <c r="B16" s="16" t="inlineStr">
        <is>
          <t>채권</t>
        </is>
      </c>
      <c r="C16" s="16" t="inlineStr">
        <is>
          <t>이벤트 드리븐</t>
        </is>
      </c>
      <c r="D16" s="16" t="inlineStr">
        <is>
          <t>직접</t>
        </is>
      </c>
      <c r="E16" s="17" t="inlineStr">
        <is>
          <t>연초 효과 미국 IG 회사채 (LQD, 환헤지)</t>
        </is>
      </c>
      <c r="F16" s="18">
        <f>SUMIFS(구성종목!$M$5:$M$25,구성종목!$B$5:$B$25,A16,구성종목!$G$5:$G$25,"롱")</f>
        <v/>
      </c>
      <c r="G16" s="18">
        <f>SUMIFS(구성종목!$M$5:$M$25,구성종목!$B$5:$B$25,A16,구성종목!$G$5:$G$25,"숏")</f>
        <v/>
      </c>
      <c r="H16" s="18">
        <f>F16-G16</f>
        <v/>
      </c>
      <c r="I16" s="24" t="n">
        <v>1</v>
      </c>
      <c r="J16" s="20">
        <f>IF(F16=0,0,SUMPRODUCT((구성종목!$B$5:$B$25=A16)*구성종목!$O$5:$O$25*구성종목!$Q$5:$Q$25)/F16)</f>
        <v/>
      </c>
      <c r="K16" s="21" t="n">
        <v>0.03</v>
      </c>
      <c r="L16" s="21" t="n">
        <v>-0.015</v>
      </c>
      <c r="M16" s="18">
        <f>F16*K16</f>
        <v/>
      </c>
      <c r="N16" s="18">
        <f>-F16*ABS(L16)</f>
        <v/>
      </c>
      <c r="O16" s="17" t="inlineStr">
        <is>
          <t>IG 유효수익률이 3년 창 상단 — 연초 스프레드 축소와 금리 레벨 동시 활용</t>
        </is>
      </c>
      <c r="P16" s="17" t="inlineStr">
        <is>
          <t>OAS 백분위 창이 3년뿐 — 장기 비교 불가</t>
        </is>
      </c>
      <c r="Q16" s="22" t="inlineStr">
        <is>
          <t>미국 IG 유효수익률 5.86%(3년 창 95%), OAS 85bp (analytics, 10-16)</t>
        </is>
      </c>
      <c r="R16" s="23" t="inlineStr">
        <is>
          <t>bond</t>
        </is>
      </c>
      <c r="S16" s="23" t="inlineStr">
        <is>
          <t>USD</t>
        </is>
      </c>
      <c r="T16" s="25" t="n">
        <v>8.300000000000001</v>
      </c>
      <c r="U16" s="25" t="n">
        <v>1</v>
      </c>
      <c r="V16" s="19" t="n"/>
    </row>
    <row r="17" ht="42" customHeight="1">
      <c r="A17" s="15" t="inlineStr">
        <is>
          <t>B5</t>
        </is>
      </c>
      <c r="B17" s="16" t="inlineStr">
        <is>
          <t>채권</t>
        </is>
      </c>
      <c r="C17" s="16" t="inlineStr">
        <is>
          <t>자금기반 Arbitrage</t>
        </is>
      </c>
      <c r="D17" s="16" t="inlineStr">
        <is>
          <t>직접</t>
        </is>
      </c>
      <c r="E17" s="17" t="inlineStr">
        <is>
          <t>전환사채 롱 (CWB, 환헤지) — CB·BW 대용</t>
        </is>
      </c>
      <c r="F17" s="18">
        <f>SUMIFS(구성종목!$M$5:$M$25,구성종목!$B$5:$B$25,A17,구성종목!$G$5:$G$25,"롱")</f>
        <v/>
      </c>
      <c r="G17" s="18">
        <f>SUMIFS(구성종목!$M$5:$M$25,구성종목!$B$5:$B$25,A17,구성종목!$G$5:$G$25,"숏")</f>
        <v/>
      </c>
      <c r="H17" s="18">
        <f>F17-G17</f>
        <v/>
      </c>
      <c r="I17" s="24" t="n">
        <v>1</v>
      </c>
      <c r="J17" s="20">
        <f>IF(F17=0,0,SUMPRODUCT((구성종목!$B$5:$B$25=A17)*구성종목!$O$5:$O$25*구성종목!$P$5:$P$25)/F17)</f>
        <v/>
      </c>
      <c r="K17" s="21" t="n">
        <v>0.06</v>
      </c>
      <c r="L17" s="21" t="n">
        <v>-0.03</v>
      </c>
      <c r="M17" s="18">
        <f>F17*K17</f>
        <v/>
      </c>
      <c r="N17" s="18">
        <f>-F17*ABS(L17)</f>
        <v/>
      </c>
      <c r="O17" s="17" t="inlineStr">
        <is>
          <t>CB·BW 로 하단 방어 + 전환권 가치. 개별 CB 대신 실존 ETF 로 대용</t>
        </is>
      </c>
      <c r="P17" s="17" t="inlineStr">
        <is>
          <t>델타 헤지(주식 대차 매도) 미적용 — 주식 하락에 노출</t>
        </is>
      </c>
      <c r="Q17" s="22" t="inlineStr">
        <is>
          <t>CWB 52주 고점 대비 −13.4% (yfinance, 10-19)</t>
        </is>
      </c>
      <c r="R17" s="23" t="inlineStr">
        <is>
          <t>mixed</t>
        </is>
      </c>
      <c r="S17" s="23" t="inlineStr">
        <is>
          <t>USD</t>
        </is>
      </c>
      <c r="T17" s="25" t="n">
        <v>2.5</v>
      </c>
      <c r="U17" s="25" t="n">
        <v>2</v>
      </c>
      <c r="V17" s="26" t="n">
        <v>50</v>
      </c>
    </row>
    <row r="18" ht="42" customHeight="1">
      <c r="A18" s="15" t="inlineStr">
        <is>
          <t>B6</t>
        </is>
      </c>
      <c r="B18" s="16" t="inlineStr">
        <is>
          <t>채권</t>
        </is>
      </c>
      <c r="C18" s="16" t="inlineStr">
        <is>
          <t>위탁 대용</t>
        </is>
      </c>
      <c r="D18" s="16" t="inlineStr">
        <is>
          <t>위탁 대용</t>
        </is>
      </c>
      <c r="E18" s="17" t="inlineStr">
        <is>
          <t>EM 로컬통화 국채 (EMLC) — EM 로컬채권 위탁 대용</t>
        </is>
      </c>
      <c r="F18" s="18">
        <f>SUMIFS(구성종목!$M$5:$M$25,구성종목!$B$5:$B$25,A18,구성종목!$G$5:$G$25,"롱")</f>
        <v/>
      </c>
      <c r="G18" s="18">
        <f>SUMIFS(구성종목!$M$5:$M$25,구성종목!$B$5:$B$25,A18,구성종목!$G$5:$G$25,"숏")</f>
        <v/>
      </c>
      <c r="H18" s="18">
        <f>F18-G18</f>
        <v/>
      </c>
      <c r="I18" s="24" t="n">
        <v>1</v>
      </c>
      <c r="J18" s="20">
        <f>IF(F18=0,0,SUMPRODUCT((구성종목!$B$5:$B$25=A18)*구성종목!$O$5:$O$25*구성종목!$Q$5:$Q$25)/F18)</f>
        <v/>
      </c>
      <c r="K18" s="21" t="n">
        <v>0.06</v>
      </c>
      <c r="L18" s="21" t="n">
        <v>-0.04</v>
      </c>
      <c r="M18" s="18">
        <f>F18*K18</f>
        <v/>
      </c>
      <c r="N18" s="18">
        <f>-F18*ABS(L18)</f>
        <v/>
      </c>
      <c r="O18" s="17" t="inlineStr">
        <is>
          <t>위탁 후보(EM 로컬채권) — 운용사 선정 전 실존 ETF 로 대용. 달러/원은 헤지</t>
        </is>
      </c>
      <c r="P18" s="17" t="inlineStr">
        <is>
          <t>EM 통화 약세 시 손실(달러/원 헤지와 별개)</t>
        </is>
      </c>
      <c r="Q18" s="22" t="inlineStr">
        <is>
          <t>EMLC 52주 고점 대비 −2.9% (yfinance, 10-19)</t>
        </is>
      </c>
      <c r="R18" s="23" t="inlineStr">
        <is>
          <t>bond</t>
        </is>
      </c>
      <c r="S18" s="23" t="inlineStr">
        <is>
          <t>USD</t>
        </is>
      </c>
      <c r="T18" s="25" t="n">
        <v>5</v>
      </c>
      <c r="U18" s="25" t="n">
        <v>2</v>
      </c>
      <c r="V18" s="19" t="n"/>
    </row>
    <row r="19" ht="42" customHeight="1">
      <c r="A19" s="15" t="inlineStr">
        <is>
          <t>F1</t>
        </is>
      </c>
      <c r="B19" s="16" t="inlineStr">
        <is>
          <t>환</t>
        </is>
      </c>
      <c r="C19" s="16" t="inlineStr">
        <is>
          <t>마켓타이밍</t>
        </is>
      </c>
      <c r="D19" s="16" t="inlineStr">
        <is>
          <t>직접</t>
        </is>
      </c>
      <c r="E19" s="17" t="inlineStr">
        <is>
          <t>달러 롱 / 원화 숏 (미국달러선물)</t>
        </is>
      </c>
      <c r="F19" s="18">
        <f>SUMIFS(구성종목!$M$5:$M$25,구성종목!$B$5:$B$25,A19,구성종목!$G$5:$G$25,"롱")</f>
        <v/>
      </c>
      <c r="G19" s="18">
        <f>SUMIFS(구성종목!$M$5:$M$25,구성종목!$B$5:$B$25,A19,구성종목!$G$5:$G$25,"숏")</f>
        <v/>
      </c>
      <c r="H19" s="18">
        <f>F19-G19</f>
        <v/>
      </c>
      <c r="I19" s="19" t="n"/>
      <c r="J19" s="19" t="n"/>
      <c r="K19" s="27">
        <f>'가정·출처'!$B$11/'가정·출처'!$B$5-1</f>
        <v/>
      </c>
      <c r="L19" s="27">
        <f>'가정·출처'!$B$12/'가정·출처'!$B$5-1</f>
        <v/>
      </c>
      <c r="M19" s="18">
        <f>F19*K19</f>
        <v/>
      </c>
      <c r="N19" s="18">
        <f>-F19*ABS(L19)</f>
        <v/>
      </c>
      <c r="O19" s="17" t="inlineStr">
        <is>
          <t>원화 강세 과도 → 달러 롱. 목표 1,400원 · 손절 1,290원</t>
        </is>
      </c>
      <c r="P19" s="17" t="inlineStr">
        <is>
          <t>원화 강세 추세 지속(1년 z −2.35) — 추세 국면에서 극단은 더 극단으로 갈 수 있음</t>
        </is>
      </c>
      <c r="Q19" s="22" t="inlineStr">
        <is>
          <t>USD/KRW 1,326.6, 52주 고점 대비 −14.6%, 1년 z −2.35 (analytics, 10-20)</t>
        </is>
      </c>
      <c r="R19" s="23" t="inlineStr">
        <is>
          <t>fx</t>
        </is>
      </c>
      <c r="S19" s="23" t="inlineStr">
        <is>
          <t>USD</t>
        </is>
      </c>
      <c r="T19" s="19" t="n"/>
      <c r="U19" s="19" t="n"/>
      <c r="V19" s="19" t="n"/>
    </row>
    <row r="20" ht="42" customHeight="1">
      <c r="A20" s="15" t="inlineStr">
        <is>
          <t>F2</t>
        </is>
      </c>
      <c r="B20" s="16" t="inlineStr">
        <is>
          <t>환</t>
        </is>
      </c>
      <c r="C20" s="16" t="inlineStr">
        <is>
          <t>상대가치</t>
        </is>
      </c>
      <c r="D20" s="16" t="inlineStr">
        <is>
          <t>직접</t>
        </is>
      </c>
      <c r="E20" s="17" t="inlineStr">
        <is>
          <t>엔 롱 / 원 숏 (엔선물)</t>
        </is>
      </c>
      <c r="F20" s="18">
        <f>SUMIFS(구성종목!$M$5:$M$25,구성종목!$B$5:$B$25,A20,구성종목!$G$5:$G$25,"롱")</f>
        <v/>
      </c>
      <c r="G20" s="18">
        <f>SUMIFS(구성종목!$M$5:$M$25,구성종목!$B$5:$B$25,A20,구성종목!$G$5:$G$25,"숏")</f>
        <v/>
      </c>
      <c r="H20" s="18">
        <f>F20-G20</f>
        <v/>
      </c>
      <c r="I20" s="19" t="n"/>
      <c r="J20" s="19" t="n"/>
      <c r="K20" s="21" t="n">
        <v>0.08</v>
      </c>
      <c r="L20" s="21" t="n">
        <v>-0.04</v>
      </c>
      <c r="M20" s="18">
        <f>F20*K20</f>
        <v/>
      </c>
      <c r="N20" s="18">
        <f>-F20*ABS(L20)</f>
        <v/>
      </c>
      <c r="O20" s="17" t="inlineStr">
        <is>
          <t>엔 실질실효환율 저평가·BOJ 정상화 vs 원화 강세 선반영 → 수렴</t>
        </is>
      </c>
      <c r="P20" s="17" t="inlineStr">
        <is>
          <t>엔/원 1년 −11% 추세 — 떨어지는 칼. 손절 엄수</t>
        </is>
      </c>
      <c r="Q20" s="22" t="inlineStr">
        <is>
          <t>엔/원 100엔당 837원 = 5년 최저(백분위 0%) (yfinance, 10-20)</t>
        </is>
      </c>
      <c r="R20" s="23" t="inlineStr">
        <is>
          <t>fx</t>
        </is>
      </c>
      <c r="S20" s="23" t="inlineStr">
        <is>
          <t>JPY</t>
        </is>
      </c>
      <c r="T20" s="19" t="n"/>
      <c r="U20" s="19" t="n"/>
      <c r="V20" s="19" t="n"/>
    </row>
    <row r="21">
      <c r="A21" s="14" t="n"/>
      <c r="B21" s="14" t="n"/>
      <c r="C21" s="14" t="n"/>
      <c r="D21" s="14" t="n"/>
      <c r="E21" s="8" t="inlineStr">
        <is>
          <t>합계</t>
        </is>
      </c>
      <c r="F21" s="10">
        <f>SUM(F5:F20)</f>
        <v/>
      </c>
      <c r="G21" s="10">
        <f>SUM(G5:G20)</f>
        <v/>
      </c>
      <c r="H21" s="10">
        <f>SUM(H5:H20)</f>
        <v/>
      </c>
      <c r="I21" s="14" t="n"/>
      <c r="J21" s="14" t="n"/>
      <c r="K21" s="14" t="n"/>
      <c r="L21" s="14" t="n"/>
      <c r="M21" s="10">
        <f>SUM(M5:M20)</f>
        <v/>
      </c>
      <c r="N21" s="10">
        <f>SUM(N5:N20)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36" customWidth="1" min="3" max="3"/>
    <col width="15" customWidth="1" min="4" max="4"/>
    <col width="13" customWidth="1" min="5" max="5"/>
    <col width="8" customWidth="1" min="6" max="6"/>
    <col width="6" customWidth="1" min="7" max="7"/>
    <col width="12" customWidth="1" min="8" max="8"/>
    <col width="13" customWidth="1" min="9" max="9"/>
    <col width="10" customWidth="1" min="10" max="10"/>
    <col width="10" customWidth="1" min="11" max="11"/>
    <col width="13" customWidth="1" min="12" max="12"/>
    <col width="12" customWidth="1" min="13" max="13"/>
    <col width="6" customWidth="1" min="14" max="14"/>
    <col width="12" customWidth="1" min="15" max="15"/>
    <col width="12" customWidth="1" min="16" max="16"/>
    <col width="9" customWidth="1" min="17" max="17"/>
    <col width="60" customWidth="1" min="18" max="18"/>
  </cols>
  <sheetData>
    <row r="1">
      <c r="A1" s="1" t="inlineStr">
        <is>
          <t>구성종목 — 실제 보유 단위(수량은 입력값)</t>
        </is>
      </c>
    </row>
    <row r="2">
      <c r="A2" s="2" t="inlineStr">
        <is>
          <t>수량·진입가·환율·승수·베타·듀레이션은 입력값(파란 글씨). 금액은 수식. 선물은 계약 수, 주식·ETF 는 주 수.</t>
        </is>
      </c>
    </row>
    <row r="4" ht="30" customHeight="1">
      <c r="A4" s="4" t="inlineStr">
        <is>
          <t>행ID</t>
        </is>
      </c>
      <c r="B4" s="4" t="inlineStr">
        <is>
          <t>포지션ID</t>
        </is>
      </c>
      <c r="C4" s="4" t="inlineStr">
        <is>
          <t>상품명</t>
        </is>
      </c>
      <c r="D4" s="4" t="inlineStr">
        <is>
          <t>코드</t>
        </is>
      </c>
      <c r="E4" s="4" t="inlineStr">
        <is>
          <t>시장</t>
        </is>
      </c>
      <c r="F4" s="4" t="inlineStr">
        <is>
          <t>가격통화</t>
        </is>
      </c>
      <c r="G4" s="4" t="inlineStr">
        <is>
          <t>방향</t>
        </is>
      </c>
      <c r="H4" s="4" t="inlineStr">
        <is>
          <t>계획 금액(억원)</t>
        </is>
      </c>
      <c r="I4" s="4" t="inlineStr">
        <is>
          <t>진입가</t>
        </is>
      </c>
      <c r="J4" s="4" t="inlineStr">
        <is>
          <t>진입 환율</t>
        </is>
      </c>
      <c r="K4" s="4" t="inlineStr">
        <is>
          <t>승수</t>
        </is>
      </c>
      <c r="L4" s="4" t="inlineStr">
        <is>
          <t>수량(주·계약)</t>
        </is>
      </c>
      <c r="M4" s="4" t="inlineStr">
        <is>
          <t>편입 금액(억원)</t>
        </is>
      </c>
      <c r="N4" s="4" t="inlineStr">
        <is>
          <t>부호</t>
        </is>
      </c>
      <c r="O4" s="4" t="inlineStr">
        <is>
          <t>순노출(억원)</t>
        </is>
      </c>
      <c r="P4" s="4" t="inlineStr">
        <is>
          <t>베타(1년, KODEX200 대비)</t>
        </is>
      </c>
      <c r="Q4" s="4" t="inlineStr">
        <is>
          <t>듀레이션</t>
        </is>
      </c>
      <c r="R4" s="4" t="inlineStr">
        <is>
          <t>비고</t>
        </is>
      </c>
    </row>
    <row r="5">
      <c r="A5" s="28" t="inlineStr">
        <is>
          <t>E1-1</t>
        </is>
      </c>
      <c r="B5" s="28" t="inlineStr">
        <is>
          <t>E1</t>
        </is>
      </c>
      <c r="C5" s="28" t="inlineStr">
        <is>
          <t>삼성전자</t>
        </is>
      </c>
      <c r="D5" s="28" t="inlineStr">
        <is>
          <t>005930</t>
        </is>
      </c>
      <c r="E5" s="28" t="inlineStr">
        <is>
          <t>KRX 유가증권</t>
        </is>
      </c>
      <c r="F5" s="28" t="inlineStr">
        <is>
          <t>KRW</t>
        </is>
      </c>
      <c r="G5" s="29" t="inlineStr">
        <is>
          <t>롱</t>
        </is>
      </c>
      <c r="H5" s="30" t="n">
        <v>250</v>
      </c>
      <c r="I5" s="31" t="n">
        <v>211500</v>
      </c>
      <c r="J5" s="32" t="n">
        <v>1</v>
      </c>
      <c r="K5" s="33" t="n">
        <v>1</v>
      </c>
      <c r="L5" s="33" t="n">
        <v>118203</v>
      </c>
      <c r="M5" s="34">
        <f>L5*I5*J5*K5/100000000</f>
        <v/>
      </c>
      <c r="N5" s="35">
        <f>IF(G5="숏",-1,1)</f>
        <v/>
      </c>
      <c r="O5" s="34">
        <f>M5*N5</f>
        <v/>
      </c>
      <c r="P5" s="36" t="n">
        <v>1.19</v>
      </c>
      <c r="Q5" s="37" t="n"/>
      <c r="R5" s="38" t="inlineStr"/>
    </row>
    <row r="6">
      <c r="A6" s="28" t="inlineStr">
        <is>
          <t>E2-1</t>
        </is>
      </c>
      <c r="B6" s="28" t="inlineStr">
        <is>
          <t>E2</t>
        </is>
      </c>
      <c r="C6" s="28" t="inlineStr">
        <is>
          <t>SK하이닉스</t>
        </is>
      </c>
      <c r="D6" s="28" t="inlineStr">
        <is>
          <t>000660</t>
        </is>
      </c>
      <c r="E6" s="28" t="inlineStr">
        <is>
          <t>KRX 유가증권</t>
        </is>
      </c>
      <c r="F6" s="28" t="inlineStr">
        <is>
          <t>KRW</t>
        </is>
      </c>
      <c r="G6" s="29" t="inlineStr">
        <is>
          <t>롱</t>
        </is>
      </c>
      <c r="H6" s="30" t="n">
        <v>150</v>
      </c>
      <c r="I6" s="31" t="n">
        <v>1223000</v>
      </c>
      <c r="J6" s="32" t="n">
        <v>1</v>
      </c>
      <c r="K6" s="33" t="n">
        <v>1</v>
      </c>
      <c r="L6" s="33" t="n">
        <v>12265</v>
      </c>
      <c r="M6" s="34">
        <f>L6*I6*J6*K6/100000000</f>
        <v/>
      </c>
      <c r="N6" s="35">
        <f>IF(G6="숏",-1,1)</f>
        <v/>
      </c>
      <c r="O6" s="34">
        <f>M6*N6</f>
        <v/>
      </c>
      <c r="P6" s="36" t="n">
        <v>1.39</v>
      </c>
      <c r="Q6" s="37" t="n"/>
      <c r="R6" s="38" t="inlineStr"/>
    </row>
    <row r="7">
      <c r="A7" s="28" t="inlineStr">
        <is>
          <t>E3-1</t>
        </is>
      </c>
      <c r="B7" s="28" t="inlineStr">
        <is>
          <t>E3</t>
        </is>
      </c>
      <c r="C7" s="28" t="inlineStr">
        <is>
          <t>KODEX 200</t>
        </is>
      </c>
      <c r="D7" s="28" t="inlineStr">
        <is>
          <t>069500</t>
        </is>
      </c>
      <c r="E7" s="28" t="inlineStr">
        <is>
          <t>KRX ETF</t>
        </is>
      </c>
      <c r="F7" s="28" t="inlineStr">
        <is>
          <t>KRW</t>
        </is>
      </c>
      <c r="G7" s="29" t="inlineStr">
        <is>
          <t>롱</t>
        </is>
      </c>
      <c r="H7" s="30" t="n">
        <v>300</v>
      </c>
      <c r="I7" s="31" t="n">
        <v>86755</v>
      </c>
      <c r="J7" s="32" t="n">
        <v>1</v>
      </c>
      <c r="K7" s="33" t="n">
        <v>1</v>
      </c>
      <c r="L7" s="33" t="n">
        <v>345801</v>
      </c>
      <c r="M7" s="34">
        <f>L7*I7*J7*K7/100000000</f>
        <v/>
      </c>
      <c r="N7" s="35">
        <f>IF(G7="숏",-1,1)</f>
        <v/>
      </c>
      <c r="O7" s="34">
        <f>M7*N7</f>
        <v/>
      </c>
      <c r="P7" s="36" t="n">
        <v>1</v>
      </c>
      <c r="Q7" s="37" t="n"/>
      <c r="R7" s="38" t="inlineStr">
        <is>
          <t>KOSPI200 추종</t>
        </is>
      </c>
    </row>
    <row r="8">
      <c r="A8" s="28" t="inlineStr">
        <is>
          <t>P1-1</t>
        </is>
      </c>
      <c r="B8" s="28" t="inlineStr">
        <is>
          <t>P1</t>
        </is>
      </c>
      <c r="C8" s="28" t="inlineStr">
        <is>
          <t>KB금융</t>
        </is>
      </c>
      <c r="D8" s="28" t="inlineStr">
        <is>
          <t>105560</t>
        </is>
      </c>
      <c r="E8" s="28" t="inlineStr">
        <is>
          <t>KRX 유가증권</t>
        </is>
      </c>
      <c r="F8" s="28" t="inlineStr">
        <is>
          <t>KRW</t>
        </is>
      </c>
      <c r="G8" s="29" t="inlineStr">
        <is>
          <t>롱</t>
        </is>
      </c>
      <c r="H8" s="30" t="n">
        <v>250</v>
      </c>
      <c r="I8" s="31" t="n">
        <v>160900</v>
      </c>
      <c r="J8" s="32" t="n">
        <v>1</v>
      </c>
      <c r="K8" s="33" t="n">
        <v>1</v>
      </c>
      <c r="L8" s="33" t="n">
        <v>155376</v>
      </c>
      <c r="M8" s="34">
        <f>L8*I8*J8*K8/100000000</f>
        <v/>
      </c>
      <c r="N8" s="35">
        <f>IF(G8="숏",-1,1)</f>
        <v/>
      </c>
      <c r="O8" s="34">
        <f>M8*N8</f>
        <v/>
      </c>
      <c r="P8" s="36" t="n">
        <v>0.26</v>
      </c>
      <c r="Q8" s="37" t="n"/>
      <c r="R8" s="38" t="inlineStr"/>
    </row>
    <row r="9">
      <c r="A9" s="28" t="inlineStr">
        <is>
          <t>P1-2</t>
        </is>
      </c>
      <c r="B9" s="28" t="inlineStr">
        <is>
          <t>P1</t>
        </is>
      </c>
      <c r="C9" s="28" t="inlineStr">
        <is>
          <t>신한지주</t>
        </is>
      </c>
      <c r="D9" s="28" t="inlineStr">
        <is>
          <t>055550</t>
        </is>
      </c>
      <c r="E9" s="28" t="inlineStr">
        <is>
          <t>KRX 유가증권</t>
        </is>
      </c>
      <c r="F9" s="28" t="inlineStr">
        <is>
          <t>KRW</t>
        </is>
      </c>
      <c r="G9" s="29" t="inlineStr">
        <is>
          <t>롱</t>
        </is>
      </c>
      <c r="H9" s="30" t="n">
        <v>250</v>
      </c>
      <c r="I9" s="31" t="n">
        <v>91800</v>
      </c>
      <c r="J9" s="32" t="n">
        <v>1</v>
      </c>
      <c r="K9" s="33" t="n">
        <v>1</v>
      </c>
      <c r="L9" s="33" t="n">
        <v>272331</v>
      </c>
      <c r="M9" s="34">
        <f>L9*I9*J9*K9/100000000</f>
        <v/>
      </c>
      <c r="N9" s="35">
        <f>IF(G9="숏",-1,1)</f>
        <v/>
      </c>
      <c r="O9" s="34">
        <f>M9*N9</f>
        <v/>
      </c>
      <c r="P9" s="36" t="n">
        <v>0.19</v>
      </c>
      <c r="Q9" s="37" t="n"/>
      <c r="R9" s="38" t="inlineStr"/>
    </row>
    <row r="10">
      <c r="A10" s="28" t="inlineStr">
        <is>
          <t>P1-3</t>
        </is>
      </c>
      <c r="B10" s="28" t="inlineStr">
        <is>
          <t>P1</t>
        </is>
      </c>
      <c r="C10" s="28" t="inlineStr">
        <is>
          <t>KOSPI200 선물 2026년 12월물</t>
        </is>
      </c>
      <c r="D10" s="28" t="inlineStr">
        <is>
          <t>KOSPI200 F 2612</t>
        </is>
      </c>
      <c r="E10" s="28" t="inlineStr">
        <is>
          <t>KRX 파생</t>
        </is>
      </c>
      <c r="F10" s="28" t="inlineStr">
        <is>
          <t>KRW</t>
        </is>
      </c>
      <c r="G10" s="29" t="inlineStr">
        <is>
          <t>숏</t>
        </is>
      </c>
      <c r="H10" s="30" t="n">
        <v>112.5</v>
      </c>
      <c r="I10" s="31" t="n">
        <v>858.78</v>
      </c>
      <c r="J10" s="32" t="n">
        <v>1</v>
      </c>
      <c r="K10" s="33" t="n">
        <v>250000</v>
      </c>
      <c r="L10" s="33" t="n">
        <v>52</v>
      </c>
      <c r="M10" s="34">
        <f>L10*I10*J10*K10/100000000</f>
        <v/>
      </c>
      <c r="N10" s="35">
        <f>IF(G10="숏",-1,1)</f>
        <v/>
      </c>
      <c r="O10" s="34">
        <f>M10*N10</f>
        <v/>
      </c>
      <c r="P10" s="36" t="n">
        <v>1</v>
      </c>
      <c r="Q10" s="37" t="n"/>
      <c r="R10" s="38" t="inlineStr">
        <is>
          <t>베타 중립: KB 250×0.26 + 신한 250×0.19 = 112억. 진입가는 지수 현물(베이시스 무시)</t>
        </is>
      </c>
    </row>
    <row r="11">
      <c r="A11" s="28" t="inlineStr">
        <is>
          <t>P2-1</t>
        </is>
      </c>
      <c r="B11" s="28" t="inlineStr">
        <is>
          <t>P2</t>
        </is>
      </c>
      <c r="C11" s="28" t="inlineStr">
        <is>
          <t>삼성전자</t>
        </is>
      </c>
      <c r="D11" s="28" t="inlineStr">
        <is>
          <t>005930</t>
        </is>
      </c>
      <c r="E11" s="28" t="inlineStr">
        <is>
          <t>KRX 유가증권</t>
        </is>
      </c>
      <c r="F11" s="28" t="inlineStr">
        <is>
          <t>KRW</t>
        </is>
      </c>
      <c r="G11" s="29" t="inlineStr">
        <is>
          <t>롱</t>
        </is>
      </c>
      <c r="H11" s="30" t="n">
        <v>250</v>
      </c>
      <c r="I11" s="31" t="n">
        <v>211500</v>
      </c>
      <c r="J11" s="32" t="n">
        <v>1</v>
      </c>
      <c r="K11" s="33" t="n">
        <v>1</v>
      </c>
      <c r="L11" s="33" t="n">
        <v>118203</v>
      </c>
      <c r="M11" s="34">
        <f>L11*I11*J11*K11/100000000</f>
        <v/>
      </c>
      <c r="N11" s="35">
        <f>IF(G11="숏",-1,1)</f>
        <v/>
      </c>
      <c r="O11" s="34">
        <f>M11*N11</f>
        <v/>
      </c>
      <c r="P11" s="36" t="n">
        <v>1.19</v>
      </c>
      <c r="Q11" s="37" t="n"/>
      <c r="R11" s="38" t="inlineStr"/>
    </row>
    <row r="12">
      <c r="A12" s="28" t="inlineStr">
        <is>
          <t>P2-2</t>
        </is>
      </c>
      <c r="B12" s="28" t="inlineStr">
        <is>
          <t>P2</t>
        </is>
      </c>
      <c r="C12" s="28" t="inlineStr">
        <is>
          <t>삼성전자우</t>
        </is>
      </c>
      <c r="D12" s="28" t="inlineStr">
        <is>
          <t>005935</t>
        </is>
      </c>
      <c r="E12" s="28" t="inlineStr">
        <is>
          <t>KRX 유가증권</t>
        </is>
      </c>
      <c r="F12" s="28" t="inlineStr">
        <is>
          <t>KRW</t>
        </is>
      </c>
      <c r="G12" s="29" t="inlineStr">
        <is>
          <t>숏</t>
        </is>
      </c>
      <c r="H12" s="30" t="n">
        <v>250</v>
      </c>
      <c r="I12" s="31" t="n">
        <v>165900</v>
      </c>
      <c r="J12" s="32" t="n">
        <v>1</v>
      </c>
      <c r="K12" s="33" t="n">
        <v>1</v>
      </c>
      <c r="L12" s="33" t="n">
        <v>150693</v>
      </c>
      <c r="M12" s="34">
        <f>L12*I12*J12*K12/100000000</f>
        <v/>
      </c>
      <c r="N12" s="35">
        <f>IF(G12="숏",-1,1)</f>
        <v/>
      </c>
      <c r="O12" s="34">
        <f>M12*N12</f>
        <v/>
      </c>
      <c r="P12" s="36" t="n">
        <v>1.11</v>
      </c>
      <c r="Q12" s="37" t="n"/>
      <c r="R12" s="38" t="inlineStr">
        <is>
          <t>대차 매도, 금액 중립</t>
        </is>
      </c>
    </row>
    <row r="13">
      <c r="A13" s="28" t="inlineStr">
        <is>
          <t>P3-1</t>
        </is>
      </c>
      <c r="B13" s="28" t="inlineStr">
        <is>
          <t>P3</t>
        </is>
      </c>
      <c r="C13" s="28" t="inlineStr">
        <is>
          <t>현대차</t>
        </is>
      </c>
      <c r="D13" s="28" t="inlineStr">
        <is>
          <t>005380</t>
        </is>
      </c>
      <c r="E13" s="28" t="inlineStr">
        <is>
          <t>KRX 유가증권</t>
        </is>
      </c>
      <c r="F13" s="28" t="inlineStr">
        <is>
          <t>KRW</t>
        </is>
      </c>
      <c r="G13" s="29" t="inlineStr">
        <is>
          <t>롱</t>
        </is>
      </c>
      <c r="H13" s="30" t="n">
        <v>200</v>
      </c>
      <c r="I13" s="31" t="n">
        <v>310000</v>
      </c>
      <c r="J13" s="32" t="n">
        <v>1</v>
      </c>
      <c r="K13" s="33" t="n">
        <v>1</v>
      </c>
      <c r="L13" s="33" t="n">
        <v>64516</v>
      </c>
      <c r="M13" s="34">
        <f>L13*I13*J13*K13/100000000</f>
        <v/>
      </c>
      <c r="N13" s="35">
        <f>IF(G13="숏",-1,1)</f>
        <v/>
      </c>
      <c r="O13" s="34">
        <f>M13*N13</f>
        <v/>
      </c>
      <c r="P13" s="36" t="n">
        <v>0.7</v>
      </c>
      <c r="Q13" s="37" t="n"/>
      <c r="R13" s="38" t="inlineStr"/>
    </row>
    <row r="14">
      <c r="A14" s="28" t="inlineStr">
        <is>
          <t>P3-2</t>
        </is>
      </c>
      <c r="B14" s="28" t="inlineStr">
        <is>
          <t>P3</t>
        </is>
      </c>
      <c r="C14" s="28" t="inlineStr">
        <is>
          <t>기아</t>
        </is>
      </c>
      <c r="D14" s="28" t="inlineStr">
        <is>
          <t>000270</t>
        </is>
      </c>
      <c r="E14" s="28" t="inlineStr">
        <is>
          <t>KRX 유가증권</t>
        </is>
      </c>
      <c r="F14" s="28" t="inlineStr">
        <is>
          <t>KRW</t>
        </is>
      </c>
      <c r="G14" s="29" t="inlineStr">
        <is>
          <t>숏</t>
        </is>
      </c>
      <c r="H14" s="30" t="n">
        <v>200</v>
      </c>
      <c r="I14" s="31" t="n">
        <v>112400</v>
      </c>
      <c r="J14" s="32" t="n">
        <v>1</v>
      </c>
      <c r="K14" s="33" t="n">
        <v>1</v>
      </c>
      <c r="L14" s="33" t="n">
        <v>177936</v>
      </c>
      <c r="M14" s="34">
        <f>L14*I14*J14*K14/100000000</f>
        <v/>
      </c>
      <c r="N14" s="35">
        <f>IF(G14="숏",-1,1)</f>
        <v/>
      </c>
      <c r="O14" s="34">
        <f>M14*N14</f>
        <v/>
      </c>
      <c r="P14" s="36" t="n">
        <v>0.5600000000000001</v>
      </c>
      <c r="Q14" s="37" t="n"/>
      <c r="R14" s="38" t="inlineStr">
        <is>
          <t>대차 매도, 금액 중립</t>
        </is>
      </c>
    </row>
    <row r="15">
      <c r="A15" s="28" t="inlineStr">
        <is>
          <t>E8-1</t>
        </is>
      </c>
      <c r="B15" s="28" t="inlineStr">
        <is>
          <t>E8</t>
        </is>
      </c>
      <c r="C15" s="28" t="inlineStr">
        <is>
          <t>SPDR S&amp;P 500 ETF Trust</t>
        </is>
      </c>
      <c r="D15" s="28" t="inlineStr">
        <is>
          <t>SPY</t>
        </is>
      </c>
      <c r="E15" s="28" t="inlineStr">
        <is>
          <t>NYSE Arca</t>
        </is>
      </c>
      <c r="F15" s="28" t="inlineStr">
        <is>
          <t>USD</t>
        </is>
      </c>
      <c r="G15" s="29" t="inlineStr">
        <is>
          <t>롱</t>
        </is>
      </c>
      <c r="H15" s="30" t="n">
        <v>200</v>
      </c>
      <c r="I15" s="31" t="n">
        <v>766.48</v>
      </c>
      <c r="J15" s="39">
        <f>'가정·출처'!$B$5</f>
        <v/>
      </c>
      <c r="K15" s="33" t="n">
        <v>1</v>
      </c>
      <c r="L15" s="33" t="n">
        <v>19669</v>
      </c>
      <c r="M15" s="34">
        <f>L15*I15*J15*K15/100000000</f>
        <v/>
      </c>
      <c r="N15" s="35">
        <f>IF(G15="숏",-1,1)</f>
        <v/>
      </c>
      <c r="O15" s="34">
        <f>M15*N15</f>
        <v/>
      </c>
      <c r="P15" s="36" t="n">
        <v>1</v>
      </c>
      <c r="Q15" s="37" t="n"/>
      <c r="R15" s="38" t="inlineStr">
        <is>
          <t>베타는 국내 주식 충격 동일 적용 가정</t>
        </is>
      </c>
    </row>
    <row r="16">
      <c r="A16" s="28" t="inlineStr">
        <is>
          <t>E9-1</t>
        </is>
      </c>
      <c r="B16" s="28" t="inlineStr">
        <is>
          <t>E9</t>
        </is>
      </c>
      <c r="C16" s="28" t="inlineStr">
        <is>
          <t>ARIRANG 고배당주</t>
        </is>
      </c>
      <c r="D16" s="28" t="inlineStr">
        <is>
          <t>161510</t>
        </is>
      </c>
      <c r="E16" s="28" t="inlineStr">
        <is>
          <t>KRX ETF</t>
        </is>
      </c>
      <c r="F16" s="28" t="inlineStr">
        <is>
          <t>KRW</t>
        </is>
      </c>
      <c r="G16" s="29" t="inlineStr">
        <is>
          <t>롱</t>
        </is>
      </c>
      <c r="H16" s="30" t="n">
        <v>150</v>
      </c>
      <c r="I16" s="31" t="n">
        <v>23275</v>
      </c>
      <c r="J16" s="32" t="n">
        <v>1</v>
      </c>
      <c r="K16" s="33" t="n">
        <v>1</v>
      </c>
      <c r="L16" s="33" t="n">
        <v>644468</v>
      </c>
      <c r="M16" s="34">
        <f>L16*I16*J16*K16/100000000</f>
        <v/>
      </c>
      <c r="N16" s="35">
        <f>IF(G16="숏",-1,1)</f>
        <v/>
      </c>
      <c r="O16" s="34">
        <f>M16*N16</f>
        <v/>
      </c>
      <c r="P16" s="36" t="n">
        <v>0.31</v>
      </c>
      <c r="Q16" s="37" t="n"/>
      <c r="R16" s="38" t="inlineStr"/>
    </row>
    <row r="17">
      <c r="A17" s="28" t="inlineStr">
        <is>
          <t>B1-1</t>
        </is>
      </c>
      <c r="B17" s="28" t="inlineStr">
        <is>
          <t>B1</t>
        </is>
      </c>
      <c r="C17" s="28" t="inlineStr">
        <is>
          <t>iShares 7-10 Year Treasury Bond ETF</t>
        </is>
      </c>
      <c r="D17" s="28" t="inlineStr">
        <is>
          <t>IEF</t>
        </is>
      </c>
      <c r="E17" s="28" t="inlineStr">
        <is>
          <t>NASDAQ</t>
        </is>
      </c>
      <c r="F17" s="28" t="inlineStr">
        <is>
          <t>USD</t>
        </is>
      </c>
      <c r="G17" s="29" t="inlineStr">
        <is>
          <t>롱</t>
        </is>
      </c>
      <c r="H17" s="30" t="n">
        <v>500</v>
      </c>
      <c r="I17" s="31" t="n">
        <v>90.08</v>
      </c>
      <c r="J17" s="39">
        <f>'가정·출처'!$B$5</f>
        <v/>
      </c>
      <c r="K17" s="33" t="n">
        <v>1</v>
      </c>
      <c r="L17" s="33" t="n">
        <v>418413</v>
      </c>
      <c r="M17" s="34">
        <f>L17*I17*J17*K17/100000000</f>
        <v/>
      </c>
      <c r="N17" s="35">
        <f>IF(G17="숏",-1,1)</f>
        <v/>
      </c>
      <c r="O17" s="34">
        <f>M17*N17</f>
        <v/>
      </c>
      <c r="P17" s="37" t="n"/>
      <c r="Q17" s="36" t="n">
        <v>7.1</v>
      </c>
      <c r="R17" s="38" t="inlineStr">
        <is>
          <t>듀레이션 가정(공시 확인)</t>
        </is>
      </c>
    </row>
    <row r="18">
      <c r="A18" s="28" t="inlineStr">
        <is>
          <t>B2-1</t>
        </is>
      </c>
      <c r="B18" s="28" t="inlineStr">
        <is>
          <t>B2</t>
        </is>
      </c>
      <c r="C18" s="28" t="inlineStr">
        <is>
          <t>iShares 7-10 Year Treasury Bond ETF</t>
        </is>
      </c>
      <c r="D18" s="28" t="inlineStr">
        <is>
          <t>IEF</t>
        </is>
      </c>
      <c r="E18" s="28" t="inlineStr">
        <is>
          <t>NASDAQ</t>
        </is>
      </c>
      <c r="F18" s="28" t="inlineStr">
        <is>
          <t>USD</t>
        </is>
      </c>
      <c r="G18" s="29" t="inlineStr">
        <is>
          <t>롱</t>
        </is>
      </c>
      <c r="H18" s="30" t="n">
        <v>1200</v>
      </c>
      <c r="I18" s="31" t="n">
        <v>90.08</v>
      </c>
      <c r="J18" s="39">
        <f>'가정·출처'!$B$5</f>
        <v/>
      </c>
      <c r="K18" s="33" t="n">
        <v>1</v>
      </c>
      <c r="L18" s="33" t="n">
        <v>1004191</v>
      </c>
      <c r="M18" s="34">
        <f>L18*I18*J18*K18/100000000</f>
        <v/>
      </c>
      <c r="N18" s="35">
        <f>IF(G18="숏",-1,1)</f>
        <v/>
      </c>
      <c r="O18" s="34">
        <f>M18*N18</f>
        <v/>
      </c>
      <c r="P18" s="37" t="n"/>
      <c r="Q18" s="36" t="n">
        <v>7.1</v>
      </c>
      <c r="R18" s="38" t="inlineStr"/>
    </row>
    <row r="19">
      <c r="A19" s="28" t="inlineStr">
        <is>
          <t>B2-2</t>
        </is>
      </c>
      <c r="B19" s="28" t="inlineStr">
        <is>
          <t>B2</t>
        </is>
      </c>
      <c r="C19" s="28" t="inlineStr">
        <is>
          <t>10년 국채선물 2026년 12월물</t>
        </is>
      </c>
      <c r="D19" s="28" t="inlineStr">
        <is>
          <t>LKTB F 2612</t>
        </is>
      </c>
      <c r="E19" s="28" t="inlineStr">
        <is>
          <t>KRX 파생</t>
        </is>
      </c>
      <c r="F19" s="28" t="inlineStr">
        <is>
          <t>KRW</t>
        </is>
      </c>
      <c r="G19" s="29" t="inlineStr">
        <is>
          <t>숏</t>
        </is>
      </c>
      <c r="H19" s="30" t="n">
        <v>1078.5</v>
      </c>
      <c r="I19" s="31" t="n">
        <v>106.44</v>
      </c>
      <c r="J19" s="32" t="n">
        <v>1</v>
      </c>
      <c r="K19" s="33" t="n">
        <v>1000000</v>
      </c>
      <c r="L19" s="33" t="n">
        <v>1013</v>
      </c>
      <c r="M19" s="34">
        <f>L19*I19*J19*K19/100000000</f>
        <v/>
      </c>
      <c r="N19" s="35">
        <f>IF(G19="숏",-1,1)</f>
        <v/>
      </c>
      <c r="O19" s="34">
        <f>M19*N19</f>
        <v/>
      </c>
      <c r="P19" s="37" t="n"/>
      <c r="Q19" s="36" t="n">
        <v>7.9</v>
      </c>
      <c r="R19" s="38" t="inlineStr">
        <is>
          <t>듀레이션 중립: 1,200×7.1/7.9 = 1078억. 진입가는 국고10y 4.205%(2026-10-19) 기준 표면 5% 10년물 이론가</t>
        </is>
      </c>
    </row>
    <row r="20">
      <c r="A20" s="28" t="inlineStr">
        <is>
          <t>B3-1</t>
        </is>
      </c>
      <c r="B20" s="28" t="inlineStr">
        <is>
          <t>B3</t>
        </is>
      </c>
      <c r="C20" s="28" t="inlineStr">
        <is>
          <t>KODEX 종합채권(AA-이상)액티브</t>
        </is>
      </c>
      <c r="D20" s="28" t="inlineStr">
        <is>
          <t>273130</t>
        </is>
      </c>
      <c r="E20" s="28" t="inlineStr">
        <is>
          <t>KRX ETF</t>
        </is>
      </c>
      <c r="F20" s="28" t="inlineStr">
        <is>
          <t>KRW</t>
        </is>
      </c>
      <c r="G20" s="29" t="inlineStr">
        <is>
          <t>롱</t>
        </is>
      </c>
      <c r="H20" s="30" t="n">
        <v>400</v>
      </c>
      <c r="I20" s="31" t="n">
        <v>111605</v>
      </c>
      <c r="J20" s="32" t="n">
        <v>1</v>
      </c>
      <c r="K20" s="33" t="n">
        <v>1</v>
      </c>
      <c r="L20" s="33" t="n">
        <v>358407</v>
      </c>
      <c r="M20" s="34">
        <f>L20*I20*J20*K20/100000000</f>
        <v/>
      </c>
      <c r="N20" s="35">
        <f>IF(G20="숏",-1,1)</f>
        <v/>
      </c>
      <c r="O20" s="34">
        <f>M20*N20</f>
        <v/>
      </c>
      <c r="P20" s="37" t="n"/>
      <c r="Q20" s="36" t="n">
        <v>4.5</v>
      </c>
      <c r="R20" s="38" t="inlineStr">
        <is>
          <t>듀레이션 가정(공시 확인)</t>
        </is>
      </c>
    </row>
    <row r="21">
      <c r="A21" s="28" t="inlineStr">
        <is>
          <t>B4-1</t>
        </is>
      </c>
      <c r="B21" s="28" t="inlineStr">
        <is>
          <t>B4</t>
        </is>
      </c>
      <c r="C21" s="28" t="inlineStr">
        <is>
          <t>iShares iBoxx $ Investment Grade Corporate Bond ETF</t>
        </is>
      </c>
      <c r="D21" s="28" t="inlineStr">
        <is>
          <t>LQD</t>
        </is>
      </c>
      <c r="E21" s="28" t="inlineStr">
        <is>
          <t>NYSE Arca</t>
        </is>
      </c>
      <c r="F21" s="28" t="inlineStr">
        <is>
          <t>USD</t>
        </is>
      </c>
      <c r="G21" s="29" t="inlineStr">
        <is>
          <t>롱</t>
        </is>
      </c>
      <c r="H21" s="30" t="n">
        <v>400</v>
      </c>
      <c r="I21" s="31" t="n">
        <v>102.88</v>
      </c>
      <c r="J21" s="39">
        <f>'가정·출처'!$B$5</f>
        <v/>
      </c>
      <c r="K21" s="33" t="n">
        <v>1</v>
      </c>
      <c r="L21" s="33" t="n">
        <v>293084</v>
      </c>
      <c r="M21" s="34">
        <f>L21*I21*J21*K21/100000000</f>
        <v/>
      </c>
      <c r="N21" s="35">
        <f>IF(G21="숏",-1,1)</f>
        <v/>
      </c>
      <c r="O21" s="34">
        <f>M21*N21</f>
        <v/>
      </c>
      <c r="P21" s="37" t="n"/>
      <c r="Q21" s="36" t="n">
        <v>8.300000000000001</v>
      </c>
      <c r="R21" s="38" t="inlineStr">
        <is>
          <t>듀레이션 가정(공시 확인)</t>
        </is>
      </c>
    </row>
    <row r="22">
      <c r="A22" s="28" t="inlineStr">
        <is>
          <t>B5-1</t>
        </is>
      </c>
      <c r="B22" s="28" t="inlineStr">
        <is>
          <t>B5</t>
        </is>
      </c>
      <c r="C22" s="28" t="inlineStr">
        <is>
          <t>SPDR Bloomberg Convertible Securities ETF</t>
        </is>
      </c>
      <c r="D22" s="28" t="inlineStr">
        <is>
          <t>CWB</t>
        </is>
      </c>
      <c r="E22" s="28" t="inlineStr">
        <is>
          <t>NYSE Arca</t>
        </is>
      </c>
      <c r="F22" s="28" t="inlineStr">
        <is>
          <t>USD</t>
        </is>
      </c>
      <c r="G22" s="29" t="inlineStr">
        <is>
          <t>롱</t>
        </is>
      </c>
      <c r="H22" s="30" t="n">
        <v>200</v>
      </c>
      <c r="I22" s="31" t="n">
        <v>95.34999999999999</v>
      </c>
      <c r="J22" s="39">
        <f>'가정·출처'!$B$5</f>
        <v/>
      </c>
      <c r="K22" s="33" t="n">
        <v>1</v>
      </c>
      <c r="L22" s="33" t="n">
        <v>158115</v>
      </c>
      <c r="M22" s="34">
        <f>L22*I22*J22*K22/100000000</f>
        <v/>
      </c>
      <c r="N22" s="35">
        <f>IF(G22="숏",-1,1)</f>
        <v/>
      </c>
      <c r="O22" s="34">
        <f>M22*N22</f>
        <v/>
      </c>
      <c r="P22" s="36" t="n">
        <v>0.5</v>
      </c>
      <c r="Q22" s="36" t="n">
        <v>2.5</v>
      </c>
      <c r="R22" s="38" t="inlineStr">
        <is>
          <t>주식 델타 50%·채권 듀레이션 2.5 가정</t>
        </is>
      </c>
    </row>
    <row r="23">
      <c r="A23" s="28" t="inlineStr">
        <is>
          <t>B6-1</t>
        </is>
      </c>
      <c r="B23" s="28" t="inlineStr">
        <is>
          <t>B6</t>
        </is>
      </c>
      <c r="C23" s="28" t="inlineStr">
        <is>
          <t>VanEck J.P. Morgan EM Local Currency Bond ETF</t>
        </is>
      </c>
      <c r="D23" s="28" t="inlineStr">
        <is>
          <t>EMLC</t>
        </is>
      </c>
      <c r="E23" s="28" t="inlineStr">
        <is>
          <t>NYSE Arca</t>
        </is>
      </c>
      <c r="F23" s="28" t="inlineStr">
        <is>
          <t>USD</t>
        </is>
      </c>
      <c r="G23" s="29" t="inlineStr">
        <is>
          <t>롱</t>
        </is>
      </c>
      <c r="H23" s="30" t="n">
        <v>300</v>
      </c>
      <c r="I23" s="31" t="n">
        <v>24.9</v>
      </c>
      <c r="J23" s="39">
        <f>'가정·출처'!$B$5</f>
        <v/>
      </c>
      <c r="K23" s="33" t="n">
        <v>1</v>
      </c>
      <c r="L23" s="33" t="n">
        <v>908208</v>
      </c>
      <c r="M23" s="34">
        <f>L23*I23*J23*K23/100000000</f>
        <v/>
      </c>
      <c r="N23" s="35">
        <f>IF(G23="숏",-1,1)</f>
        <v/>
      </c>
      <c r="O23" s="34">
        <f>M23*N23</f>
        <v/>
      </c>
      <c r="P23" s="37" t="n"/>
      <c r="Q23" s="36" t="n">
        <v>5</v>
      </c>
      <c r="R23" s="38" t="inlineStr">
        <is>
          <t>듀레이션 가정(공시 확인). EM 통화 위험 내재</t>
        </is>
      </c>
    </row>
    <row r="24">
      <c r="A24" s="28" t="inlineStr">
        <is>
          <t>F1-1</t>
        </is>
      </c>
      <c r="B24" s="28" t="inlineStr">
        <is>
          <t>F1</t>
        </is>
      </c>
      <c r="C24" s="28" t="inlineStr">
        <is>
          <t>미국달러선물 최근월물</t>
        </is>
      </c>
      <c r="D24" s="28" t="inlineStr">
        <is>
          <t>USD F</t>
        </is>
      </c>
      <c r="E24" s="28" t="inlineStr">
        <is>
          <t>KRX 파생</t>
        </is>
      </c>
      <c r="F24" s="28" t="inlineStr">
        <is>
          <t>KRW</t>
        </is>
      </c>
      <c r="G24" s="29" t="inlineStr">
        <is>
          <t>롱</t>
        </is>
      </c>
      <c r="H24" s="30" t="n">
        <v>500</v>
      </c>
      <c r="I24" s="31" t="n">
        <v>1326.59</v>
      </c>
      <c r="J24" s="32" t="n">
        <v>1</v>
      </c>
      <c r="K24" s="33" t="n">
        <v>10000</v>
      </c>
      <c r="L24" s="33" t="n">
        <v>3769</v>
      </c>
      <c r="M24" s="34">
        <f>L24*I24*J24*K24/100000000</f>
        <v/>
      </c>
      <c r="N24" s="35">
        <f>IF(G24="숏",-1,1)</f>
        <v/>
      </c>
      <c r="O24" s="34">
        <f>M24*N24</f>
        <v/>
      </c>
      <c r="P24" s="37" t="n"/>
      <c r="Q24" s="37" t="n"/>
      <c r="R24" s="38" t="inlineStr">
        <is>
          <t>계약 US$10,000, 진입가는 현물(베이시스 무시)</t>
        </is>
      </c>
    </row>
    <row r="25">
      <c r="A25" s="28" t="inlineStr">
        <is>
          <t>F2-1</t>
        </is>
      </c>
      <c r="B25" s="28" t="inlineStr">
        <is>
          <t>F2</t>
        </is>
      </c>
      <c r="C25" s="28" t="inlineStr">
        <is>
          <t>엔선물 최근월물</t>
        </is>
      </c>
      <c r="D25" s="28" t="inlineStr">
        <is>
          <t>JPY F</t>
        </is>
      </c>
      <c r="E25" s="28" t="inlineStr">
        <is>
          <t>KRX 파생</t>
        </is>
      </c>
      <c r="F25" s="28" t="inlineStr">
        <is>
          <t>KRW</t>
        </is>
      </c>
      <c r="G25" s="29" t="inlineStr">
        <is>
          <t>롱</t>
        </is>
      </c>
      <c r="H25" s="30" t="n">
        <v>400</v>
      </c>
      <c r="I25" s="31" t="n">
        <v>837.1</v>
      </c>
      <c r="J25" s="32" t="n">
        <v>1</v>
      </c>
      <c r="K25" s="33" t="n">
        <v>10000</v>
      </c>
      <c r="L25" s="33" t="n">
        <v>4778</v>
      </c>
      <c r="M25" s="34">
        <f>L25*I25*J25*K25/100000000</f>
        <v/>
      </c>
      <c r="N25" s="35">
        <f>IF(G25="숏",-1,1)</f>
        <v/>
      </c>
      <c r="O25" s="34">
        <f>M25*N25</f>
        <v/>
      </c>
      <c r="P25" s="37" t="n"/>
      <c r="Q25" s="37" t="n"/>
      <c r="R25" s="38" t="inlineStr">
        <is>
          <t>계약 ¥1,000,000, 호가 100엔당 원, 진입가는 현물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4" customWidth="1" min="4" max="4"/>
    <col width="30" customWidth="1" min="5" max="5"/>
  </cols>
  <sheetData>
    <row r="1">
      <c r="A1" s="1" t="inlineStr">
        <is>
          <t>손실한도 — 체험용 가안 (투자위 확정 전)</t>
        </is>
      </c>
    </row>
    <row r="2">
      <c r="A2" s="2" t="inlineStr">
        <is>
          <t>전체 → 자산별 → 포지션 손절 3단 구조의 시험값(가정). 자산별 합 ≤ 전체, 자산별 손절 예산 합 ≤ 자산 한도가 되도록 설정.</t>
        </is>
      </c>
    </row>
    <row r="4" ht="30" customHeight="1">
      <c r="A4" s="4" t="inlineStr">
        <is>
          <t>구분</t>
        </is>
      </c>
      <c r="B4" s="4" t="inlineStr">
        <is>
          <t>한도(억원)</t>
        </is>
      </c>
      <c r="C4" s="4" t="inlineStr">
        <is>
          <t>손절 예산 합(억원)</t>
        </is>
      </c>
      <c r="D4" s="4" t="inlineStr">
        <is>
          <t>손절 예산/한도</t>
        </is>
      </c>
      <c r="E4" s="4" t="inlineStr">
        <is>
          <t>점검</t>
        </is>
      </c>
    </row>
    <row r="5">
      <c r="A5" s="5" t="inlineStr">
        <is>
          <t>전체</t>
        </is>
      </c>
      <c r="B5" s="6" t="n">
        <v>300</v>
      </c>
      <c r="C5" s="7">
        <f>SUM(C6:C8)</f>
        <v/>
      </c>
      <c r="D5" s="11">
        <f>IF(B5=0,0,C5/B5)</f>
        <v/>
      </c>
      <c r="E5" s="5">
        <f>IF(SUM(B6:B8)&lt;=B5,"자산별 한도 합 ≤ 전체 — 정상","자산별 한도 합이 전체 초과")</f>
        <v/>
      </c>
    </row>
    <row r="6">
      <c r="A6" s="5" t="inlineStr">
        <is>
          <t>주식</t>
        </is>
      </c>
      <c r="B6" s="6" t="n">
        <v>160</v>
      </c>
      <c r="C6" s="7">
        <f>-SUMIFS(포지션!$N$5:$N$20,포지션!$B$5:$B$20,"주식")</f>
        <v/>
      </c>
      <c r="D6" s="11">
        <f>IF(B6=0,0,C6/B6)</f>
        <v/>
      </c>
      <c r="E6" s="5">
        <f>IF(C6&lt;=B6,"정상","손절 예산이 한도 초과")</f>
        <v/>
      </c>
    </row>
    <row r="7">
      <c r="A7" s="5" t="inlineStr">
        <is>
          <t>채권</t>
        </is>
      </c>
      <c r="B7" s="6" t="n">
        <v>80</v>
      </c>
      <c r="C7" s="7">
        <f>-SUMIFS(포지션!$N$5:$N$20,포지션!$B$5:$B$20,"채권")</f>
        <v/>
      </c>
      <c r="D7" s="11">
        <f>IF(B7=0,0,C7/B7)</f>
        <v/>
      </c>
      <c r="E7" s="5">
        <f>IF(C7&lt;=B7,"정상","손절 예산이 한도 초과")</f>
        <v/>
      </c>
    </row>
    <row r="8">
      <c r="A8" s="5" t="inlineStr">
        <is>
          <t>환</t>
        </is>
      </c>
      <c r="B8" s="6" t="n">
        <v>40</v>
      </c>
      <c r="C8" s="7">
        <f>-SUMIFS(포지션!$N$5:$N$20,포지션!$B$5:$B$20,"환")</f>
        <v/>
      </c>
      <c r="D8" s="11">
        <f>IF(B8=0,0,C8/B8)</f>
        <v/>
      </c>
      <c r="E8" s="5">
        <f>IF(C8&lt;=B8,"정상","손절 예산이 한도 초과")</f>
        <v/>
      </c>
    </row>
    <row r="10">
      <c r="A10" s="2" t="inlineStr">
        <is>
          <t>근거(가정): 전체 300억 = Active 5,000억의 6%. 주식 160억(2,000억의 8%) · 채권 80억(3,000억의 약 2.7%) · 환 40억(오버레이 한도 1,000억의 4%). 단계 50%(경고)/75%(축소)/100%(중단), 손절 접근 70% 는 시스템 기본값.</t>
        </is>
      </c>
    </row>
    <row r="11">
      <c r="A11" s="2" t="inlineStr">
        <is>
          <t>주의: 시스템은 혼합(전환사채 B5)의 손절을 주식·채권 양쪽 예산에 모두 계상하므로 시스템 화면의 주식 손절 예산은 이 표보다 6억 크다.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70" customWidth="1" min="3" max="3"/>
  </cols>
  <sheetData>
    <row r="1">
      <c r="A1" s="1" t="inlineStr">
        <is>
          <t>가정·출처</t>
        </is>
      </c>
    </row>
    <row r="2">
      <c r="A2" s="2" t="inlineStr">
        <is>
          <t>파란 글씨 = 입력값(바꿔도 됨) · 검은 글씨 = 수식 · 노란 칸 = 핵심 가정</t>
        </is>
      </c>
    </row>
    <row r="4">
      <c r="A4" s="3" t="inlineStr">
        <is>
          <t>항목</t>
        </is>
      </c>
      <c r="B4" s="3" t="inlineStr">
        <is>
          <t>값</t>
        </is>
      </c>
      <c r="C4" s="3" t="inlineStr">
        <is>
          <t>출처·설명</t>
        </is>
      </c>
    </row>
    <row r="5">
      <c r="A5" s="5" t="inlineStr">
        <is>
          <t>USD/KRW 진입 환율</t>
        </is>
      </c>
      <c r="B5" s="40" t="n">
        <v>1326.59</v>
      </c>
      <c r="C5" s="2" t="inlineStr">
        <is>
          <t>yfinance KRW=X, 2026-10-20</t>
        </is>
      </c>
    </row>
    <row r="6">
      <c r="A6" s="5" t="inlineStr">
        <is>
          <t>엔/원 진입 (100엔당 원)</t>
        </is>
      </c>
      <c r="B6" s="40" t="n">
        <v>837.1</v>
      </c>
      <c r="C6" s="2" t="inlineStr">
        <is>
          <t>yfinance JPYKRW=X ×100, 2026-10-20</t>
        </is>
      </c>
    </row>
    <row r="7">
      <c r="A7" s="5" t="inlineStr">
        <is>
          <t>국고 10년 (%)</t>
        </is>
      </c>
      <c r="B7" s="41" t="n">
        <v>4.205</v>
      </c>
      <c r="C7" s="2" t="inlineStr">
        <is>
          <t>금융투자협회 최종호가, 2026-10-19</t>
        </is>
      </c>
    </row>
    <row r="8">
      <c r="A8" s="5" t="inlineStr">
        <is>
          <t>10년 국채선물 이론가</t>
        </is>
      </c>
      <c r="B8" s="40" t="n">
        <v>106.44</v>
      </c>
      <c r="C8" s="2" t="inlineStr">
        <is>
          <t>표면 5%·만기 10년 반기 이표 표준물을 국고10y 로 할인(베이시스 무시)</t>
        </is>
      </c>
    </row>
    <row r="9">
      <c r="A9" s="5" t="inlineStr">
        <is>
          <t>10년 국채선물 수정듀레이션</t>
        </is>
      </c>
      <c r="B9" s="42" t="n">
        <v>7.9</v>
      </c>
      <c r="C9" s="2" t="inlineStr">
        <is>
          <t>위 표준물 기준</t>
        </is>
      </c>
    </row>
    <row r="10">
      <c r="A10" s="5" t="inlineStr">
        <is>
          <t>IEF 유효듀레이션 (가정)</t>
        </is>
      </c>
      <c r="B10" s="43" t="n">
        <v>7.1</v>
      </c>
      <c r="C10" s="2" t="inlineStr">
        <is>
          <t>iShares 공시값으로 확인 필요</t>
        </is>
      </c>
    </row>
    <row r="11">
      <c r="A11" s="5" t="inlineStr">
        <is>
          <t>달러선물 목표 환율</t>
        </is>
      </c>
      <c r="B11" s="44" t="n">
        <v>1400</v>
      </c>
      <c r="C11" s="2" t="inlineStr">
        <is>
          <t>가정 — 진입 대비 약 +5.5%</t>
        </is>
      </c>
    </row>
    <row r="12">
      <c r="A12" s="5" t="inlineStr">
        <is>
          <t>달러선물 손절 환율</t>
        </is>
      </c>
      <c r="B12" s="44" t="n">
        <v>1290</v>
      </c>
      <c r="C12" s="2" t="inlineStr">
        <is>
          <t>가정 — 진입 대비 약 −2.8%</t>
        </is>
      </c>
    </row>
    <row r="13">
      <c r="A13" s="5" t="inlineStr">
        <is>
          <t>Active 운용 규모 (억원)</t>
        </is>
      </c>
      <c r="B13" s="44" t="n">
        <v>5000</v>
      </c>
      <c r="C13" s="2" t="inlineStr">
        <is>
          <t>가상 설정 — 주식 2,000 · 채권 3,000, 환 오버레이 한도 1,000(명목)</t>
        </is>
      </c>
    </row>
    <row r="15">
      <c r="A15" s="5" t="inlineStr">
        <is>
          <t>■ 성격: 시스템을 써 보기 위한 가상 포트(Active 5,000억 가상 설정). 실제 조직·계획·보유와 무관하며 투자·매매 지시가 아님.</t>
        </is>
      </c>
    </row>
    <row r="16">
      <c r="A16" s="5" t="inlineStr">
        <is>
          <t>■ 실존 상품만 사용: 국내 상장 주식·ETF, 미국 상장 ETF, KRX 파생(KOSPI200 선물·10년 국채선물·미국달러선물·엔선물). 상장 여부·종목명·가격은 yfinance 로 2026-10-20 에 확인.</t>
        </is>
      </c>
    </row>
    <row r="17">
      <c r="A17" s="5" t="inlineStr">
        <is>
          <t>■ 진입가: 국내 2026-10-20 종가, 미국 ETF 2026-10-19 종가. 선물은 현물·이론가로 대신함(베이시스 무시).</t>
        </is>
      </c>
    </row>
    <row r="18">
      <c r="A18" s="5" t="inlineStr">
        <is>
          <t>■ 환헤지: 해외 자산은 원칙적으로 환헤지 100%(금리·주가 요인만). 환 위험은 F1·F2 오버레이로만 가져감(오버레이 한도 1,000억, 가정).</t>
        </is>
      </c>
    </row>
    <row r="19">
      <c r="A19" s="5" t="inlineStr">
        <is>
          <t>■ 미반영: 헤지비용(스왑포인트)·거래비용·대차 수수료·조달비용의 일별 차감.</t>
        </is>
      </c>
    </row>
    <row r="20">
      <c r="A20" s="5" t="inlineStr">
        <is>
          <t>■ 계열사 증권 미편입: 대주주·계열사 발행 증권은 별도 한도·승인 대상이라 제외.</t>
        </is>
      </c>
    </row>
    <row r="21">
      <c r="A21" s="5" t="inlineStr">
        <is>
          <t>■ 집중도: 삼성전자 보통주 롱이 E1 250억 + P2 250억(P2 는 우선주 숏으로 일부 상쇄) — STOCK 점검 항목.</t>
        </is>
      </c>
    </row>
    <row r="22">
      <c r="A22" s="5" t="inlineStr">
        <is>
          <t>■ 손절·목표: 가정값. 페어·이벤트는 포지션 롱 금액 대비 비율.</t>
        </is>
      </c>
    </row>
    <row r="23">
      <c r="A23" s="5" t="inlineStr">
        <is>
          <t>■ 시스템 연동: regime-council 폴더에서 python book.py 실행 → 시가 평가 → data/positions.json 으로 들어가 한도·손절·스트레스·에이전트 보고에 반영.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2026-10-22T00:28:12Z</dcterms:created>
  <dcterms:modified xmlns:dcterms="http://purl.org/dc/terms/" xmlns:xsi="http://www.w3.org/2001/XMLSchema-instance" xsi:type="dcterms:W3CDTF">2026-10-22T00:28:12Z</dcterms:modified>
</cp:coreProperties>
</file>