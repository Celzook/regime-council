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수" sheetId="1" state="visible" r:id="rId1"/>
    <sheet xmlns:r="http://schemas.openxmlformats.org/officeDocument/2006/relationships" name="캘린더" sheetId="2" state="visible" r:id="rId2"/>
    <sheet xmlns:r="http://schemas.openxmlformats.org/officeDocument/2006/relationships" name="검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color rgb="00666666"/>
      <sz val="9"/>
    </font>
    <font>
      <name val="Arial"/>
      <b val="1"/>
      <color rgb="00FFFFFF"/>
    </font>
    <font>
      <name val="Arial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3A3A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8" customWidth="1" min="3" max="3"/>
    <col width="11" customWidth="1" min="4" max="4"/>
    <col width="6" customWidth="1" min="5" max="5"/>
    <col width="14" customWidth="1" min="6" max="6"/>
    <col width="15" customWidth="1" min="7" max="7"/>
    <col width="9" customWidth="1" min="8" max="8"/>
    <col width="30" customWidth="1" min="9" max="9"/>
    <col width="12" customWidth="1" min="10" max="10"/>
    <col width="12" customWidth="1" min="11" max="11"/>
    <col width="22" customWidth="1" min="12" max="12"/>
  </cols>
  <sheetData>
    <row r="1">
      <c r="A1" s="1" t="inlineStr">
        <is>
          <t>인포맥스 브리지 — 열어 둘 필요 없습니다. 인포맥스가 켜져 있으면 시스템이 보이지 않는 엑셀로 이 파일을 열어 값을 받아 갑니다.</t>
        </is>
      </c>
    </row>
    <row r="2">
      <c r="A2" s="2" t="inlineStr">
        <is>
          <t>파란 글씨(구분·코드·항목)는 고칠 수 있습니다. 코드는 인포맥스 엑셀 애드인의 코드 검색으로 찾아 넣으세요. 행을 추가해도 됩니다(값·일자 수식은 위 행을 복사).</t>
        </is>
      </c>
    </row>
    <row r="4">
      <c r="A4" s="3" t="inlineStr">
        <is>
          <t>키</t>
        </is>
      </c>
      <c r="B4" s="3" t="inlineStr">
        <is>
          <t>이름</t>
        </is>
      </c>
      <c r="C4" s="3" t="inlineStr">
        <is>
          <t>담당</t>
        </is>
      </c>
      <c r="D4" s="3" t="inlineStr">
        <is>
          <t>주제</t>
        </is>
      </c>
      <c r="E4" s="3" t="inlineStr">
        <is>
          <t>구분</t>
        </is>
      </c>
      <c r="F4" s="3" t="inlineStr">
        <is>
          <t>코드</t>
        </is>
      </c>
      <c r="G4" s="3" t="inlineStr">
        <is>
          <t>항목</t>
        </is>
      </c>
      <c r="H4" s="3" t="inlineStr">
        <is>
          <t>단위</t>
        </is>
      </c>
      <c r="I4" s="3" t="inlineStr">
        <is>
          <t>비고</t>
        </is>
      </c>
      <c r="J4" s="3" t="inlineStr">
        <is>
          <t>값</t>
        </is>
      </c>
      <c r="K4" s="3" t="inlineStr">
        <is>
          <t>일자</t>
        </is>
      </c>
      <c r="L4" s="3" t="inlineStr">
        <is>
          <t>상태</t>
        </is>
      </c>
    </row>
    <row r="5">
      <c r="A5" s="4" t="inlineStr">
        <is>
          <t>ktb_1y</t>
        </is>
      </c>
      <c r="B5" s="4" t="inlineStr">
        <is>
          <t>국고 1년</t>
        </is>
      </c>
      <c r="C5" s="4" t="inlineStr">
        <is>
          <t>bond</t>
        </is>
      </c>
      <c r="D5" s="4" t="inlineStr">
        <is>
          <t>금리</t>
        </is>
      </c>
      <c r="E5" s="5" t="inlineStr">
        <is>
          <t>IR</t>
        </is>
      </c>
      <c r="F5" s="5" t="inlineStr">
        <is>
          <t>BONDAVG01</t>
        </is>
      </c>
      <c r="G5" s="5" t="inlineStr">
        <is>
          <t>1년이하(당일)</t>
        </is>
      </c>
      <c r="H5" s="4" t="inlineStr">
        <is>
          <t>%</t>
        </is>
      </c>
      <c r="I5" s="4" t="inlineStr">
        <is>
          <t>민평 3사</t>
        </is>
      </c>
      <c r="J5" s="4">
        <f>IF($F5="","",IF(AND($E5="ECO",$G5=""),IFERROR(1*_xll.IMDP("ECO",$F5,"현재가_월"),IFERROR(1*_xll.IMDP("ECO",$F5,"현재가_주"),IFERROR(1*_xll.IMDP("ECO",$F5,"현재가_일"),IFERROR(1*_xll.IMDP("ECO",$F5,"현재가_분기"),IFERROR(1*_xll.IMDP("ECO",$F5,"현재가_년"),""))))),IFERROR(1*_xll.IMDP($E5,$F5,$G5),"")))</f>
        <v/>
      </c>
      <c r="K5" s="4">
        <f>IF($F5="","",IF($E5="ECO",IFERROR(1*_xll.IMDP("ECO",$F5,"DATE_월"),IFERROR(1*_xll.IMDP("ECO",$F5,"DATE_주"),IFERROR(1*_xll.IMDP("ECO",$F5,"DATE_일"),IFERROR(1*_xll.IMDP("ECO",$F5,"DATE_분기"),IFERROR(1*_xll.IMDP("ECO",$F5,"DATE_년"),""))))),IF($E5="IR",IFERROR(1*_xll.IMDP($E5,$F5,"날짜(당일)"),""),IFERROR(1*_xll.IMDP($E5,$F5,"거래일"),IFERROR(1*_xll.IMDP($E5,$F5,"일자"),"")))))</f>
        <v/>
      </c>
      <c r="L5" s="4">
        <f>IF($F5="","코드 입력 필요",IF(ISNUMBER($J5),"OK","값 없음 — 코드·항목 확인"))</f>
        <v/>
      </c>
    </row>
    <row r="6">
      <c r="A6" s="4" t="inlineStr">
        <is>
          <t>ktb_3y</t>
        </is>
      </c>
      <c r="B6" s="4" t="inlineStr">
        <is>
          <t>국고 3년</t>
        </is>
      </c>
      <c r="C6" s="4" t="inlineStr">
        <is>
          <t>bond</t>
        </is>
      </c>
      <c r="D6" s="4" t="inlineStr">
        <is>
          <t>금리</t>
        </is>
      </c>
      <c r="E6" s="5" t="inlineStr">
        <is>
          <t>IR</t>
        </is>
      </c>
      <c r="F6" s="5" t="inlineStr">
        <is>
          <t>BONDAVG01</t>
        </is>
      </c>
      <c r="G6" s="5" t="inlineStr">
        <is>
          <t>3년이하(당일)</t>
        </is>
      </c>
      <c r="H6" s="4" t="inlineStr">
        <is>
          <t>%</t>
        </is>
      </c>
      <c r="I6" s="4" t="inlineStr">
        <is>
          <t>민평 3사</t>
        </is>
      </c>
      <c r="J6" s="4">
        <f>IF($F6="","",IF(AND($E6="ECO",$G6=""),IFERROR(1*_xll.IMDP("ECO",$F6,"현재가_월"),IFERROR(1*_xll.IMDP("ECO",$F6,"현재가_주"),IFERROR(1*_xll.IMDP("ECO",$F6,"현재가_일"),IFERROR(1*_xll.IMDP("ECO",$F6,"현재가_분기"),IFERROR(1*_xll.IMDP("ECO",$F6,"현재가_년"),""))))),IFERROR(1*_xll.IMDP($E6,$F6,$G6),"")))</f>
        <v/>
      </c>
      <c r="K6" s="4">
        <f>IF($F6="","",IF($E6="ECO",IFERROR(1*_xll.IMDP("ECO",$F6,"DATE_월"),IFERROR(1*_xll.IMDP("ECO",$F6,"DATE_주"),IFERROR(1*_xll.IMDP("ECO",$F6,"DATE_일"),IFERROR(1*_xll.IMDP("ECO",$F6,"DATE_분기"),IFERROR(1*_xll.IMDP("ECO",$F6,"DATE_년"),""))))),IF($E6="IR",IFERROR(1*_xll.IMDP($E6,$F6,"날짜(당일)"),""),IFERROR(1*_xll.IMDP($E6,$F6,"거래일"),IFERROR(1*_xll.IMDP($E6,$F6,"일자"),"")))))</f>
        <v/>
      </c>
      <c r="L6" s="4">
        <f>IF($F6="","코드 입력 필요",IF(ISNUMBER($J6),"OK","값 없음 — 코드·항목 확인"))</f>
        <v/>
      </c>
    </row>
    <row r="7">
      <c r="A7" s="4" t="inlineStr">
        <is>
          <t>ktb_5y</t>
        </is>
      </c>
      <c r="B7" s="4" t="inlineStr">
        <is>
          <t>국고 5년</t>
        </is>
      </c>
      <c r="C7" s="4" t="inlineStr">
        <is>
          <t>bond</t>
        </is>
      </c>
      <c r="D7" s="4" t="inlineStr">
        <is>
          <t>금리</t>
        </is>
      </c>
      <c r="E7" s="5" t="inlineStr">
        <is>
          <t>IR</t>
        </is>
      </c>
      <c r="F7" s="5" t="inlineStr">
        <is>
          <t>BONDAVG01</t>
        </is>
      </c>
      <c r="G7" s="5" t="inlineStr">
        <is>
          <t>5년이하(당일)</t>
        </is>
      </c>
      <c r="H7" s="4" t="inlineStr">
        <is>
          <t>%</t>
        </is>
      </c>
      <c r="I7" s="4" t="inlineStr">
        <is>
          <t>민평 3사</t>
        </is>
      </c>
      <c r="J7" s="4">
        <f>IF($F7="","",IF(AND($E7="ECO",$G7=""),IFERROR(1*_xll.IMDP("ECO",$F7,"현재가_월"),IFERROR(1*_xll.IMDP("ECO",$F7,"현재가_주"),IFERROR(1*_xll.IMDP("ECO",$F7,"현재가_일"),IFERROR(1*_xll.IMDP("ECO",$F7,"현재가_분기"),IFERROR(1*_xll.IMDP("ECO",$F7,"현재가_년"),""))))),IFERROR(1*_xll.IMDP($E7,$F7,$G7),"")))</f>
        <v/>
      </c>
      <c r="K7" s="4">
        <f>IF($F7="","",IF($E7="ECO",IFERROR(1*_xll.IMDP("ECO",$F7,"DATE_월"),IFERROR(1*_xll.IMDP("ECO",$F7,"DATE_주"),IFERROR(1*_xll.IMDP("ECO",$F7,"DATE_일"),IFERROR(1*_xll.IMDP("ECO",$F7,"DATE_분기"),IFERROR(1*_xll.IMDP("ECO",$F7,"DATE_년"),""))))),IF($E7="IR",IFERROR(1*_xll.IMDP($E7,$F7,"날짜(당일)"),""),IFERROR(1*_xll.IMDP($E7,$F7,"거래일"),IFERROR(1*_xll.IMDP($E7,$F7,"일자"),"")))))</f>
        <v/>
      </c>
      <c r="L7" s="4">
        <f>IF($F7="","코드 입력 필요",IF(ISNUMBER($J7),"OK","값 없음 — 코드·항목 확인"))</f>
        <v/>
      </c>
    </row>
    <row r="8">
      <c r="A8" s="4" t="inlineStr">
        <is>
          <t>ktb_10y</t>
        </is>
      </c>
      <c r="B8" s="4" t="inlineStr">
        <is>
          <t>국고 10년</t>
        </is>
      </c>
      <c r="C8" s="4" t="inlineStr">
        <is>
          <t>bond</t>
        </is>
      </c>
      <c r="D8" s="4" t="inlineStr">
        <is>
          <t>금리</t>
        </is>
      </c>
      <c r="E8" s="5" t="inlineStr">
        <is>
          <t>IR</t>
        </is>
      </c>
      <c r="F8" s="5" t="inlineStr">
        <is>
          <t>BONDAVG01</t>
        </is>
      </c>
      <c r="G8" s="5" t="inlineStr">
        <is>
          <t>10년이하(당일)</t>
        </is>
      </c>
      <c r="H8" s="4" t="inlineStr">
        <is>
          <t>%</t>
        </is>
      </c>
      <c r="I8" s="4" t="inlineStr">
        <is>
          <t>민평 3사</t>
        </is>
      </c>
      <c r="J8" s="4">
        <f>IF($F8="","",IF(AND($E8="ECO",$G8=""),IFERROR(1*_xll.IMDP("ECO",$F8,"현재가_월"),IFERROR(1*_xll.IMDP("ECO",$F8,"현재가_주"),IFERROR(1*_xll.IMDP("ECO",$F8,"현재가_일"),IFERROR(1*_xll.IMDP("ECO",$F8,"현재가_분기"),IFERROR(1*_xll.IMDP("ECO",$F8,"현재가_년"),""))))),IFERROR(1*_xll.IMDP($E8,$F8,$G8),"")))</f>
        <v/>
      </c>
      <c r="K8" s="4">
        <f>IF($F8="","",IF($E8="ECO",IFERROR(1*_xll.IMDP("ECO",$F8,"DATE_월"),IFERROR(1*_xll.IMDP("ECO",$F8,"DATE_주"),IFERROR(1*_xll.IMDP("ECO",$F8,"DATE_일"),IFERROR(1*_xll.IMDP("ECO",$F8,"DATE_분기"),IFERROR(1*_xll.IMDP("ECO",$F8,"DATE_년"),""))))),IF($E8="IR",IFERROR(1*_xll.IMDP($E8,$F8,"날짜(당일)"),""),IFERROR(1*_xll.IMDP($E8,$F8,"거래일"),IFERROR(1*_xll.IMDP($E8,$F8,"일자"),"")))))</f>
        <v/>
      </c>
      <c r="L8" s="4">
        <f>IF($F8="","코드 입력 필요",IF(ISNUMBER($J8),"OK","값 없음 — 코드·항목 확인"))</f>
        <v/>
      </c>
    </row>
    <row r="9">
      <c r="A9" s="4" t="inlineStr">
        <is>
          <t>ktb_30y</t>
        </is>
      </c>
      <c r="B9" s="4" t="inlineStr">
        <is>
          <t>국고 30년</t>
        </is>
      </c>
      <c r="C9" s="4" t="inlineStr">
        <is>
          <t>bond</t>
        </is>
      </c>
      <c r="D9" s="4" t="inlineStr">
        <is>
          <t>금리</t>
        </is>
      </c>
      <c r="E9" s="5" t="inlineStr">
        <is>
          <t>IR</t>
        </is>
      </c>
      <c r="F9" s="5" t="inlineStr">
        <is>
          <t>BONDAVG01</t>
        </is>
      </c>
      <c r="G9" s="5" t="inlineStr">
        <is>
          <t>30년이하(당일)</t>
        </is>
      </c>
      <c r="H9" s="4" t="inlineStr">
        <is>
          <t>%</t>
        </is>
      </c>
      <c r="I9" s="4" t="inlineStr">
        <is>
          <t>민평 3사</t>
        </is>
      </c>
      <c r="J9" s="4">
        <f>IF($F9="","",IF(AND($E9="ECO",$G9=""),IFERROR(1*_xll.IMDP("ECO",$F9,"현재가_월"),IFERROR(1*_xll.IMDP("ECO",$F9,"현재가_주"),IFERROR(1*_xll.IMDP("ECO",$F9,"현재가_일"),IFERROR(1*_xll.IMDP("ECO",$F9,"현재가_분기"),IFERROR(1*_xll.IMDP("ECO",$F9,"현재가_년"),""))))),IFERROR(1*_xll.IMDP($E9,$F9,$G9),"")))</f>
        <v/>
      </c>
      <c r="K9" s="4">
        <f>IF($F9="","",IF($E9="ECO",IFERROR(1*_xll.IMDP("ECO",$F9,"DATE_월"),IFERROR(1*_xll.IMDP("ECO",$F9,"DATE_주"),IFERROR(1*_xll.IMDP("ECO",$F9,"DATE_일"),IFERROR(1*_xll.IMDP("ECO",$F9,"DATE_분기"),IFERROR(1*_xll.IMDP("ECO",$F9,"DATE_년"),""))))),IF($E9="IR",IFERROR(1*_xll.IMDP($E9,$F9,"날짜(당일)"),""),IFERROR(1*_xll.IMDP($E9,$F9,"거래일"),IFERROR(1*_xll.IMDP($E9,$F9,"일자"),"")))))</f>
        <v/>
      </c>
      <c r="L9" s="4">
        <f>IF($F9="","코드 입력 필요",IF(ISNUMBER($J9),"OK","값 없음 — 코드·항목 확인"))</f>
        <v/>
      </c>
    </row>
    <row r="10">
      <c r="A10" s="4" t="inlineStr">
        <is>
          <t>msb_1y</t>
        </is>
      </c>
      <c r="B10" s="4" t="inlineStr">
        <is>
          <t>통안 1년</t>
        </is>
      </c>
      <c r="C10" s="4" t="inlineStr">
        <is>
          <t>bond</t>
        </is>
      </c>
      <c r="D10" s="4" t="inlineStr">
        <is>
          <t>금리</t>
        </is>
      </c>
      <c r="E10" s="5" t="inlineStr">
        <is>
          <t>IR</t>
        </is>
      </c>
      <c r="F10" s="5" t="inlineStr">
        <is>
          <t>BONDAVG14</t>
        </is>
      </c>
      <c r="G10" s="5" t="inlineStr">
        <is>
          <t>1년이하(당일)</t>
        </is>
      </c>
      <c r="H10" s="4" t="inlineStr">
        <is>
          <t>%</t>
        </is>
      </c>
      <c r="I10" s="4" t="inlineStr">
        <is>
          <t>민평 3사 이표채</t>
        </is>
      </c>
      <c r="J10" s="4">
        <f>IF($F10="","",IF(AND($E10="ECO",$G10=""),IFERROR(1*_xll.IMDP("ECO",$F10,"현재가_월"),IFERROR(1*_xll.IMDP("ECO",$F10,"현재가_주"),IFERROR(1*_xll.IMDP("ECO",$F10,"현재가_일"),IFERROR(1*_xll.IMDP("ECO",$F10,"현재가_분기"),IFERROR(1*_xll.IMDP("ECO",$F10,"현재가_년"),""))))),IFERROR(1*_xll.IMDP($E10,$F10,$G10),"")))</f>
        <v/>
      </c>
      <c r="K10" s="4">
        <f>IF($F10="","",IF($E10="ECO",IFERROR(1*_xll.IMDP("ECO",$F10,"DATE_월"),IFERROR(1*_xll.IMDP("ECO",$F10,"DATE_주"),IFERROR(1*_xll.IMDP("ECO",$F10,"DATE_일"),IFERROR(1*_xll.IMDP("ECO",$F10,"DATE_분기"),IFERROR(1*_xll.IMDP("ECO",$F10,"DATE_년"),""))))),IF($E10="IR",IFERROR(1*_xll.IMDP($E10,$F10,"날짜(당일)"),""),IFERROR(1*_xll.IMDP($E10,$F10,"거래일"),IFERROR(1*_xll.IMDP($E10,$F10,"일자"),"")))))</f>
        <v/>
      </c>
      <c r="L10" s="4">
        <f>IF($F10="","코드 입력 필요",IF(ISNUMBER($J10),"OK","값 없음 — 코드·항목 확인"))</f>
        <v/>
      </c>
    </row>
    <row r="11">
      <c r="A11" s="4" t="inlineStr">
        <is>
          <t>bank_aaa_3y</t>
        </is>
      </c>
      <c r="B11" s="4" t="inlineStr">
        <is>
          <t>은행채 AAA 3년</t>
        </is>
      </c>
      <c r="C11" s="4" t="inlineStr">
        <is>
          <t>bond</t>
        </is>
      </c>
      <c r="D11" s="4" t="inlineStr">
        <is>
          <t>크레딧</t>
        </is>
      </c>
      <c r="E11" s="5" t="inlineStr">
        <is>
          <t>IR</t>
        </is>
      </c>
      <c r="F11" s="5" t="inlineStr">
        <is>
          <t>BONDAVG20</t>
        </is>
      </c>
      <c r="G11" s="5" t="inlineStr">
        <is>
          <t>3년이하(당일)</t>
        </is>
      </c>
      <c r="H11" s="4" t="inlineStr">
        <is>
          <t>%</t>
        </is>
      </c>
      <c r="I11" s="4" t="inlineStr">
        <is>
          <t>민평 3사</t>
        </is>
      </c>
      <c r="J11" s="4">
        <f>IF($F11="","",IF(AND($E11="ECO",$G11=""),IFERROR(1*_xll.IMDP("ECO",$F11,"현재가_월"),IFERROR(1*_xll.IMDP("ECO",$F11,"현재가_주"),IFERROR(1*_xll.IMDP("ECO",$F11,"현재가_일"),IFERROR(1*_xll.IMDP("ECO",$F11,"현재가_분기"),IFERROR(1*_xll.IMDP("ECO",$F11,"현재가_년"),""))))),IFERROR(1*_xll.IMDP($E11,$F11,$G11),"")))</f>
        <v/>
      </c>
      <c r="K11" s="4">
        <f>IF($F11="","",IF($E11="ECO",IFERROR(1*_xll.IMDP("ECO",$F11,"DATE_월"),IFERROR(1*_xll.IMDP("ECO",$F11,"DATE_주"),IFERROR(1*_xll.IMDP("ECO",$F11,"DATE_일"),IFERROR(1*_xll.IMDP("ECO",$F11,"DATE_분기"),IFERROR(1*_xll.IMDP("ECO",$F11,"DATE_년"),""))))),IF($E11="IR",IFERROR(1*_xll.IMDP($E11,$F11,"날짜(당일)"),""),IFERROR(1*_xll.IMDP($E11,$F11,"거래일"),IFERROR(1*_xll.IMDP($E11,$F11,"일자"),"")))))</f>
        <v/>
      </c>
      <c r="L11" s="4">
        <f>IF($F11="","코드 입력 필요",IF(ISNUMBER($J11),"OK","값 없음 — 코드·항목 확인"))</f>
        <v/>
      </c>
    </row>
    <row r="12">
      <c r="A12" s="4" t="inlineStr">
        <is>
          <t>card_aa_3y</t>
        </is>
      </c>
      <c r="B12" s="4" t="inlineStr">
        <is>
          <t>카드채 AA+ 3년</t>
        </is>
      </c>
      <c r="C12" s="4" t="inlineStr">
        <is>
          <t>bond</t>
        </is>
      </c>
      <c r="D12" s="4" t="inlineStr">
        <is>
          <t>크레딧</t>
        </is>
      </c>
      <c r="E12" s="5" t="inlineStr">
        <is>
          <t>IR</t>
        </is>
      </c>
      <c r="F12" s="5" t="inlineStr">
        <is>
          <t>BONDAVG81</t>
        </is>
      </c>
      <c r="G12" s="5" t="inlineStr">
        <is>
          <t>3년이하(당일)</t>
        </is>
      </c>
      <c r="H12" s="4" t="inlineStr">
        <is>
          <t>%</t>
        </is>
      </c>
      <c r="I12" s="4" t="inlineStr">
        <is>
          <t>민평 3사</t>
        </is>
      </c>
      <c r="J12" s="4">
        <f>IF($F12="","",IF(AND($E12="ECO",$G12=""),IFERROR(1*_xll.IMDP("ECO",$F12,"현재가_월"),IFERROR(1*_xll.IMDP("ECO",$F12,"현재가_주"),IFERROR(1*_xll.IMDP("ECO",$F12,"현재가_일"),IFERROR(1*_xll.IMDP("ECO",$F12,"현재가_분기"),IFERROR(1*_xll.IMDP("ECO",$F12,"현재가_년"),""))))),IFERROR(1*_xll.IMDP($E12,$F12,$G12),"")))</f>
        <v/>
      </c>
      <c r="K12" s="4">
        <f>IF($F12="","",IF($E12="ECO",IFERROR(1*_xll.IMDP("ECO",$F12,"DATE_월"),IFERROR(1*_xll.IMDP("ECO",$F12,"DATE_주"),IFERROR(1*_xll.IMDP("ECO",$F12,"DATE_일"),IFERROR(1*_xll.IMDP("ECO",$F12,"DATE_분기"),IFERROR(1*_xll.IMDP("ECO",$F12,"DATE_년"),""))))),IF($E12="IR",IFERROR(1*_xll.IMDP($E12,$F12,"날짜(당일)"),""),IFERROR(1*_xll.IMDP($E12,$F12,"거래일"),IFERROR(1*_xll.IMDP($E12,$F12,"일자"),"")))))</f>
        <v/>
      </c>
      <c r="L12" s="4">
        <f>IF($F12="","코드 입력 필요",IF(ISNUMBER($J12),"OK","값 없음 — 코드·항목 확인"))</f>
        <v/>
      </c>
    </row>
    <row r="13">
      <c r="A13" s="4" t="inlineStr">
        <is>
          <t>corp_aa_3y</t>
        </is>
      </c>
      <c r="B13" s="4" t="inlineStr">
        <is>
          <t>회사채 AA- 3년</t>
        </is>
      </c>
      <c r="C13" s="4" t="inlineStr">
        <is>
          <t>bond</t>
        </is>
      </c>
      <c r="D13" s="4" t="inlineStr">
        <is>
          <t>크레딧</t>
        </is>
      </c>
      <c r="E13" s="5" t="inlineStr">
        <is>
          <t>IR</t>
        </is>
      </c>
      <c r="F13" s="5" t="inlineStr">
        <is>
          <t>BONDAVG58</t>
        </is>
      </c>
      <c r="G13" s="5" t="inlineStr">
        <is>
          <t>3년이하(당일)</t>
        </is>
      </c>
      <c r="H13" s="4" t="inlineStr">
        <is>
          <t>%</t>
        </is>
      </c>
      <c r="I13" s="4" t="inlineStr">
        <is>
          <t>민평 3사 공모 무보증</t>
        </is>
      </c>
      <c r="J13" s="4">
        <f>IF($F13="","",IF(AND($E13="ECO",$G13=""),IFERROR(1*_xll.IMDP("ECO",$F13,"현재가_월"),IFERROR(1*_xll.IMDP("ECO",$F13,"현재가_주"),IFERROR(1*_xll.IMDP("ECO",$F13,"현재가_일"),IFERROR(1*_xll.IMDP("ECO",$F13,"현재가_분기"),IFERROR(1*_xll.IMDP("ECO",$F13,"현재가_년"),""))))),IFERROR(1*_xll.IMDP($E13,$F13,$G13),"")))</f>
        <v/>
      </c>
      <c r="K13" s="4">
        <f>IF($F13="","",IF($E13="ECO",IFERROR(1*_xll.IMDP("ECO",$F13,"DATE_월"),IFERROR(1*_xll.IMDP("ECO",$F13,"DATE_주"),IFERROR(1*_xll.IMDP("ECO",$F13,"DATE_일"),IFERROR(1*_xll.IMDP("ECO",$F13,"DATE_분기"),IFERROR(1*_xll.IMDP("ECO",$F13,"DATE_년"),""))))),IF($E13="IR",IFERROR(1*_xll.IMDP($E13,$F13,"날짜(당일)"),""),IFERROR(1*_xll.IMDP($E13,$F13,"거래일"),IFERROR(1*_xll.IMDP($E13,$F13,"일자"),"")))))</f>
        <v/>
      </c>
      <c r="L13" s="4">
        <f>IF($F13="","코드 입력 필요",IF(ISNUMBER($J13),"OK","값 없음 — 코드·항목 확인"))</f>
        <v/>
      </c>
    </row>
    <row r="14">
      <c r="A14" s="4" t="inlineStr">
        <is>
          <t>corp_a_3y</t>
        </is>
      </c>
      <c r="B14" s="4" t="inlineStr">
        <is>
          <t>회사채 A+ 3년</t>
        </is>
      </c>
      <c r="C14" s="4" t="inlineStr">
        <is>
          <t>bond</t>
        </is>
      </c>
      <c r="D14" s="4" t="inlineStr">
        <is>
          <t>크레딧</t>
        </is>
      </c>
      <c r="E14" s="5" t="inlineStr">
        <is>
          <t>IR</t>
        </is>
      </c>
      <c r="F14" s="5" t="inlineStr">
        <is>
          <t>BONDAVG59</t>
        </is>
      </c>
      <c r="G14" s="5" t="inlineStr">
        <is>
          <t>3년이하(당일)</t>
        </is>
      </c>
      <c r="H14" s="4" t="inlineStr">
        <is>
          <t>%</t>
        </is>
      </c>
      <c r="I14" s="4" t="inlineStr">
        <is>
          <t>민평 3사 공모 무보증</t>
        </is>
      </c>
      <c r="J14" s="4">
        <f>IF($F14="","",IF(AND($E14="ECO",$G14=""),IFERROR(1*_xll.IMDP("ECO",$F14,"현재가_월"),IFERROR(1*_xll.IMDP("ECO",$F14,"현재가_주"),IFERROR(1*_xll.IMDP("ECO",$F14,"현재가_일"),IFERROR(1*_xll.IMDP("ECO",$F14,"현재가_분기"),IFERROR(1*_xll.IMDP("ECO",$F14,"현재가_년"),""))))),IFERROR(1*_xll.IMDP($E14,$F14,$G14),"")))</f>
        <v/>
      </c>
      <c r="K14" s="4">
        <f>IF($F14="","",IF($E14="ECO",IFERROR(1*_xll.IMDP("ECO",$F14,"DATE_월"),IFERROR(1*_xll.IMDP("ECO",$F14,"DATE_주"),IFERROR(1*_xll.IMDP("ECO",$F14,"DATE_일"),IFERROR(1*_xll.IMDP("ECO",$F14,"DATE_분기"),IFERROR(1*_xll.IMDP("ECO",$F14,"DATE_년"),""))))),IF($E14="IR",IFERROR(1*_xll.IMDP($E14,$F14,"날짜(당일)"),""),IFERROR(1*_xll.IMDP($E14,$F14,"거래일"),IFERROR(1*_xll.IMDP($E14,$F14,"일자"),"")))))</f>
        <v/>
      </c>
      <c r="L14" s="4">
        <f>IF($F14="","코드 입력 필요",IF(ISNUMBER($J14),"OK","값 없음 — 코드·항목 확인"))</f>
        <v/>
      </c>
    </row>
    <row r="15">
      <c r="A15" s="4" t="inlineStr">
        <is>
          <t>corp_bbb_3y</t>
        </is>
      </c>
      <c r="B15" s="4" t="inlineStr">
        <is>
          <t>회사채 BBB- 3년</t>
        </is>
      </c>
      <c r="C15" s="4" t="inlineStr">
        <is>
          <t>bond</t>
        </is>
      </c>
      <c r="D15" s="4" t="inlineStr">
        <is>
          <t>크레딧</t>
        </is>
      </c>
      <c r="E15" s="5" t="inlineStr">
        <is>
          <t>IR</t>
        </is>
      </c>
      <c r="F15" s="5" t="inlineStr">
        <is>
          <t>BONDAVG64</t>
        </is>
      </c>
      <c r="G15" s="5" t="inlineStr">
        <is>
          <t>3년이하(당일)</t>
        </is>
      </c>
      <c r="H15" s="4" t="inlineStr">
        <is>
          <t>%</t>
        </is>
      </c>
      <c r="I15" s="4" t="inlineStr">
        <is>
          <t>민평 3사 공모 무보증</t>
        </is>
      </c>
      <c r="J15" s="4">
        <f>IF($F15="","",IF(AND($E15="ECO",$G15=""),IFERROR(1*_xll.IMDP("ECO",$F15,"현재가_월"),IFERROR(1*_xll.IMDP("ECO",$F15,"현재가_주"),IFERROR(1*_xll.IMDP("ECO",$F15,"현재가_일"),IFERROR(1*_xll.IMDP("ECO",$F15,"현재가_분기"),IFERROR(1*_xll.IMDP("ECO",$F15,"현재가_년"),""))))),IFERROR(1*_xll.IMDP($E15,$F15,$G15),"")))</f>
        <v/>
      </c>
      <c r="K15" s="4">
        <f>IF($F15="","",IF($E15="ECO",IFERROR(1*_xll.IMDP("ECO",$F15,"DATE_월"),IFERROR(1*_xll.IMDP("ECO",$F15,"DATE_주"),IFERROR(1*_xll.IMDP("ECO",$F15,"DATE_일"),IFERROR(1*_xll.IMDP("ECO",$F15,"DATE_분기"),IFERROR(1*_xll.IMDP("ECO",$F15,"DATE_년"),""))))),IF($E15="IR",IFERROR(1*_xll.IMDP($E15,$F15,"날짜(당일)"),""),IFERROR(1*_xll.IMDP($E15,$F15,"거래일"),IFERROR(1*_xll.IMDP($E15,$F15,"일자"),"")))))</f>
        <v/>
      </c>
      <c r="L15" s="4">
        <f>IF($F15="","코드 입력 필요",IF(ISNUMBER($J15),"OK","값 없음 — 코드·항목 확인"))</f>
        <v/>
      </c>
    </row>
    <row r="16">
      <c r="A16" s="4" t="inlineStr">
        <is>
          <t>ust_3m</t>
        </is>
      </c>
      <c r="B16" s="4" t="inlineStr">
        <is>
          <t>미국채 3개월</t>
        </is>
      </c>
      <c r="C16" s="4" t="inlineStr">
        <is>
          <t>bond</t>
        </is>
      </c>
      <c r="D16" s="4" t="inlineStr">
        <is>
          <t>금리</t>
        </is>
      </c>
      <c r="E16" s="5" t="inlineStr">
        <is>
          <t>IR</t>
        </is>
      </c>
      <c r="F16" s="5" t="inlineStr">
        <is>
          <t>US03M</t>
        </is>
      </c>
      <c r="G16" s="5" t="inlineStr">
        <is>
          <t>현재가</t>
        </is>
      </c>
      <c r="H16" s="4" t="inlineStr">
        <is>
          <t>%</t>
        </is>
      </c>
      <c r="I16" s="4" t="inlineStr">
        <is>
          <t>템플릿 확인 코드</t>
        </is>
      </c>
      <c r="J16" s="4">
        <f>IF($F16="","",IF(AND($E16="ECO",$G16=""),IFERROR(1*_xll.IMDP("ECO",$F16,"현재가_월"),IFERROR(1*_xll.IMDP("ECO",$F16,"현재가_주"),IFERROR(1*_xll.IMDP("ECO",$F16,"현재가_일"),IFERROR(1*_xll.IMDP("ECO",$F16,"현재가_분기"),IFERROR(1*_xll.IMDP("ECO",$F16,"현재가_년"),""))))),IFERROR(1*_xll.IMDP($E16,$F16,$G16),"")))</f>
        <v/>
      </c>
      <c r="K16" s="4">
        <f>IF($F16="","",IF($E16="ECO",IFERROR(1*_xll.IMDP("ECO",$F16,"DATE_월"),IFERROR(1*_xll.IMDP("ECO",$F16,"DATE_주"),IFERROR(1*_xll.IMDP("ECO",$F16,"DATE_일"),IFERROR(1*_xll.IMDP("ECO",$F16,"DATE_분기"),IFERROR(1*_xll.IMDP("ECO",$F16,"DATE_년"),""))))),IF($E16="IR",IFERROR(1*_xll.IMDP($E16,$F16,"날짜(당일)"),""),IFERROR(1*_xll.IMDP($E16,$F16,"거래일"),IFERROR(1*_xll.IMDP($E16,$F16,"일자"),"")))))</f>
        <v/>
      </c>
      <c r="L16" s="4">
        <f>IF($F16="","코드 입력 필요",IF(ISNUMBER($J16),"OK","값 없음 — 코드·항목 확인"))</f>
        <v/>
      </c>
    </row>
    <row r="17">
      <c r="A17" s="4" t="inlineStr">
        <is>
          <t>ted</t>
        </is>
      </c>
      <c r="B17" s="4" t="inlineStr">
        <is>
          <t>TED 스프레드</t>
        </is>
      </c>
      <c r="C17" s="4" t="inlineStr">
        <is>
          <t>bond</t>
        </is>
      </c>
      <c r="D17" s="4" t="inlineStr">
        <is>
          <t>신용·유동성</t>
        </is>
      </c>
      <c r="E17" s="5" t="inlineStr">
        <is>
          <t>FRN</t>
        </is>
      </c>
      <c r="F17" s="5" t="inlineStr">
        <is>
          <t>IRR:TED</t>
        </is>
      </c>
      <c r="G17" s="5" t="inlineStr">
        <is>
          <t>현재가</t>
        </is>
      </c>
      <c r="H17" s="4" t="inlineStr">
        <is>
          <t>bp</t>
        </is>
      </c>
      <c r="I17" s="4" t="inlineStr">
        <is>
          <t>2025-02 이후 갱신 없음 — 참고만</t>
        </is>
      </c>
      <c r="J17" s="4">
        <f>IF($F17="","",IF(AND($E17="ECO",$G17=""),IFERROR(1*_xll.IMDP("ECO",$F17,"현재가_월"),IFERROR(1*_xll.IMDP("ECO",$F17,"현재가_주"),IFERROR(1*_xll.IMDP("ECO",$F17,"현재가_일"),IFERROR(1*_xll.IMDP("ECO",$F17,"현재가_분기"),IFERROR(1*_xll.IMDP("ECO",$F17,"현재가_년"),""))))),IFERROR(1*_xll.IMDP($E17,$F17,$G17),"")))</f>
        <v/>
      </c>
      <c r="K17" s="4">
        <f>IF($F17="","",IF($E17="ECO",IFERROR(1*_xll.IMDP("ECO",$F17,"DATE_월"),IFERROR(1*_xll.IMDP("ECO",$F17,"DATE_주"),IFERROR(1*_xll.IMDP("ECO",$F17,"DATE_일"),IFERROR(1*_xll.IMDP("ECO",$F17,"DATE_분기"),IFERROR(1*_xll.IMDP("ECO",$F17,"DATE_년"),""))))),IF($E17="IR",IFERROR(1*_xll.IMDP($E17,$F17,"날짜(당일)"),""),IFERROR(1*_xll.IMDP($E17,$F17,"거래일"),IFERROR(1*_xll.IMDP($E17,$F17,"일자"),"")))))</f>
        <v/>
      </c>
      <c r="L17" s="4">
        <f>IF($F17="","코드 입력 필요",IF(ISNUMBER($J17),"OK","값 없음 — 코드·항목 확인"))</f>
        <v/>
      </c>
    </row>
    <row r="18">
      <c r="A18" s="4" t="inlineStr">
        <is>
          <t>usdkrw</t>
        </is>
      </c>
      <c r="B18" s="4" t="inlineStr">
        <is>
          <t>USD/KRW 현물</t>
        </is>
      </c>
      <c r="C18" s="4" t="inlineStr">
        <is>
          <t>fx</t>
        </is>
      </c>
      <c r="D18" s="4" t="inlineStr">
        <is>
          <t>환율</t>
        </is>
      </c>
      <c r="E18" s="5" t="inlineStr">
        <is>
          <t>FX</t>
        </is>
      </c>
      <c r="F18" s="5" t="inlineStr">
        <is>
          <t>USDSP_SMBCB_EXT</t>
        </is>
      </c>
      <c r="G18" s="5" t="inlineStr">
        <is>
          <t>현재가</t>
        </is>
      </c>
      <c r="H18" s="4" t="inlineStr">
        <is>
          <t>원</t>
        </is>
      </c>
      <c r="I18" s="4" t="inlineStr">
        <is>
          <t>서울외환 은행간 · 24시간</t>
        </is>
      </c>
      <c r="J18" s="4">
        <f>IF($F18="","",IF(AND($E18="ECO",$G18=""),IFERROR(1*_xll.IMDP("ECO",$F18,"현재가_월"),IFERROR(1*_xll.IMDP("ECO",$F18,"현재가_주"),IFERROR(1*_xll.IMDP("ECO",$F18,"현재가_일"),IFERROR(1*_xll.IMDP("ECO",$F18,"현재가_분기"),IFERROR(1*_xll.IMDP("ECO",$F18,"현재가_년"),""))))),IFERROR(1*_xll.IMDP($E18,$F18,$G18),"")))</f>
        <v/>
      </c>
      <c r="K18" s="4">
        <f>IF($F18="","",IF($E18="ECO",IFERROR(1*_xll.IMDP("ECO",$F18,"DATE_월"),IFERROR(1*_xll.IMDP("ECO",$F18,"DATE_주"),IFERROR(1*_xll.IMDP("ECO",$F18,"DATE_일"),IFERROR(1*_xll.IMDP("ECO",$F18,"DATE_분기"),IFERROR(1*_xll.IMDP("ECO",$F18,"DATE_년"),""))))),IF($E18="IR",IFERROR(1*_xll.IMDP($E18,$F18,"날짜(당일)"),""),IFERROR(1*_xll.IMDP($E18,$F18,"거래일"),IFERROR(1*_xll.IMDP($E18,$F18,"일자"),"")))))</f>
        <v/>
      </c>
      <c r="L18" s="4">
        <f>IF($F18="","코드 입력 필요",IF(ISNUMBER($J18),"OK","값 없음 — 코드·항목 확인"))</f>
        <v/>
      </c>
    </row>
    <row r="19">
      <c r="A19" s="4" t="inlineStr">
        <is>
          <t>dxy</t>
        </is>
      </c>
      <c r="B19" s="4" t="inlineStr">
        <is>
          <t>달러인덱스</t>
        </is>
      </c>
      <c r="C19" s="4" t="inlineStr">
        <is>
          <t>fx</t>
        </is>
      </c>
      <c r="D19" s="4" t="inlineStr">
        <is>
          <t>환율</t>
        </is>
      </c>
      <c r="E19" s="5" t="inlineStr">
        <is>
          <t>FX</t>
        </is>
      </c>
      <c r="F19" s="5" t="inlineStr">
        <is>
          <t>DOLLAR</t>
        </is>
      </c>
      <c r="G19" s="5" t="inlineStr">
        <is>
          <t>현재가</t>
        </is>
      </c>
      <c r="H19" s="4" t="inlineStr">
        <is>
          <t>pt</t>
        </is>
      </c>
      <c r="I19" s="4" t="inlineStr">
        <is>
          <t>실시간</t>
        </is>
      </c>
      <c r="J19" s="4">
        <f>IF($F19="","",IF(AND($E19="ECO",$G19=""),IFERROR(1*_xll.IMDP("ECO",$F19,"현재가_월"),IFERROR(1*_xll.IMDP("ECO",$F19,"현재가_주"),IFERROR(1*_xll.IMDP("ECO",$F19,"현재가_일"),IFERROR(1*_xll.IMDP("ECO",$F19,"현재가_분기"),IFERROR(1*_xll.IMDP("ECO",$F19,"현재가_년"),""))))),IFERROR(1*_xll.IMDP($E19,$F19,$G19),"")))</f>
        <v/>
      </c>
      <c r="K19" s="4">
        <f>IF($F19="","",IF($E19="ECO",IFERROR(1*_xll.IMDP("ECO",$F19,"DATE_월"),IFERROR(1*_xll.IMDP("ECO",$F19,"DATE_주"),IFERROR(1*_xll.IMDP("ECO",$F19,"DATE_일"),IFERROR(1*_xll.IMDP("ECO",$F19,"DATE_분기"),IFERROR(1*_xll.IMDP("ECO",$F19,"DATE_년"),""))))),IF($E19="IR",IFERROR(1*_xll.IMDP($E19,$F19,"날짜(당일)"),""),IFERROR(1*_xll.IMDP($E19,$F19,"거래일"),IFERROR(1*_xll.IMDP($E19,$F19,"일자"),"")))))</f>
        <v/>
      </c>
      <c r="L19" s="4">
        <f>IF($F19="","코드 입력 필요",IF(ISNUMBER($J19),"OK","값 없음 — 코드·항목 확인"))</f>
        <v/>
      </c>
    </row>
    <row r="20">
      <c r="A20" s="4" t="inlineStr">
        <is>
          <t>eurusd</t>
        </is>
      </c>
      <c r="B20" s="4" t="inlineStr">
        <is>
          <t>EUR/USD</t>
        </is>
      </c>
      <c r="C20" s="4" t="inlineStr">
        <is>
          <t>fx</t>
        </is>
      </c>
      <c r="D20" s="4" t="inlineStr">
        <is>
          <t>환율</t>
        </is>
      </c>
      <c r="E20" s="5" t="inlineStr">
        <is>
          <t>FX</t>
        </is>
      </c>
      <c r="F20" s="5" t="inlineStr">
        <is>
          <t>EURUSD</t>
        </is>
      </c>
      <c r="G20" s="5" t="inlineStr">
        <is>
          <t>현재가</t>
        </is>
      </c>
      <c r="H20" s="4" t="inlineStr">
        <is>
          <t>달러</t>
        </is>
      </c>
      <c r="I20" s="4" t="inlineStr">
        <is>
          <t>실시간</t>
        </is>
      </c>
      <c r="J20" s="4">
        <f>IF($F20="","",IF(AND($E20="ECO",$G20=""),IFERROR(1*_xll.IMDP("ECO",$F20,"현재가_월"),IFERROR(1*_xll.IMDP("ECO",$F20,"현재가_주"),IFERROR(1*_xll.IMDP("ECO",$F20,"현재가_일"),IFERROR(1*_xll.IMDP("ECO",$F20,"현재가_분기"),IFERROR(1*_xll.IMDP("ECO",$F20,"현재가_년"),""))))),IFERROR(1*_xll.IMDP($E20,$F20,$G20),"")))</f>
        <v/>
      </c>
      <c r="K20" s="4">
        <f>IF($F20="","",IF($E20="ECO",IFERROR(1*_xll.IMDP("ECO",$F20,"DATE_월"),IFERROR(1*_xll.IMDP("ECO",$F20,"DATE_주"),IFERROR(1*_xll.IMDP("ECO",$F20,"DATE_일"),IFERROR(1*_xll.IMDP("ECO",$F20,"DATE_분기"),IFERROR(1*_xll.IMDP("ECO",$F20,"DATE_년"),""))))),IF($E20="IR",IFERROR(1*_xll.IMDP($E20,$F20,"날짜(당일)"),""),IFERROR(1*_xll.IMDP($E20,$F20,"거래일"),IFERROR(1*_xll.IMDP($E20,$F20,"일자"),"")))))</f>
        <v/>
      </c>
      <c r="L20" s="4">
        <f>IF($F20="","코드 입력 필요",IF(ISNUMBER($J20),"OK","값 없음 — 코드·항목 확인"))</f>
        <v/>
      </c>
    </row>
    <row r="21">
      <c r="A21" s="4" t="inlineStr">
        <is>
          <t>swap_3m</t>
        </is>
      </c>
      <c r="B21" s="4" t="inlineStr">
        <is>
          <t>원/달러 스왑포인트 3M</t>
        </is>
      </c>
      <c r="C21" s="4" t="inlineStr">
        <is>
          <t>fx</t>
        </is>
      </c>
      <c r="D21" s="4" t="inlineStr">
        <is>
          <t>헤지비용</t>
        </is>
      </c>
      <c r="E21" s="5" t="inlineStr">
        <is>
          <t>FX</t>
        </is>
      </c>
      <c r="F21" s="5" t="inlineStr">
        <is>
          <t>USD3M_SMBCB</t>
        </is>
      </c>
      <c r="G21" s="5" t="inlineStr">
        <is>
          <t>중간값</t>
        </is>
      </c>
      <c r="H21" s="4" t="inlineStr">
        <is>
          <t>원</t>
        </is>
      </c>
      <c r="I21" s="4" t="inlineStr">
        <is>
          <t>서울외환 중간값(1/100원 → 원 환산)</t>
        </is>
      </c>
      <c r="J21" s="4">
        <f>IF($F21="","",IF(AND($E21="ECO",$G21=""),IFERROR(1*_xll.IMDP("ECO",$F21,"현재가_월"),IFERROR(1*_xll.IMDP("ECO",$F21,"현재가_주"),IFERROR(1*_xll.IMDP("ECO",$F21,"현재가_일"),IFERROR(1*_xll.IMDP("ECO",$F21,"현재가_분기"),IFERROR(1*_xll.IMDP("ECO",$F21,"현재가_년"),""))))),IFERROR(1*_xll.IMDP($E21,$F21,$G21),"")))</f>
        <v/>
      </c>
      <c r="K21" s="4">
        <f>IF($F21="","",IF($E21="ECO",IFERROR(1*_xll.IMDP("ECO",$F21,"DATE_월"),IFERROR(1*_xll.IMDP("ECO",$F21,"DATE_주"),IFERROR(1*_xll.IMDP("ECO",$F21,"DATE_일"),IFERROR(1*_xll.IMDP("ECO",$F21,"DATE_분기"),IFERROR(1*_xll.IMDP("ECO",$F21,"DATE_년"),""))))),IF($E21="IR",IFERROR(1*_xll.IMDP($E21,$F21,"날짜(당일)"),""),IFERROR(1*_xll.IMDP($E21,$F21,"거래일"),IFERROR(1*_xll.IMDP($E21,$F21,"일자"),"")))))</f>
        <v/>
      </c>
      <c r="L21" s="4">
        <f>IF($F21="","코드 입력 필요",IF(ISNUMBER($J21),"OK","값 없음 — 코드·항목 확인"))</f>
        <v/>
      </c>
    </row>
    <row r="22">
      <c r="A22" s="4" t="inlineStr">
        <is>
          <t>swap_1y</t>
        </is>
      </c>
      <c r="B22" s="4" t="inlineStr">
        <is>
          <t>원/달러 스왑포인트 1Y</t>
        </is>
      </c>
      <c r="C22" s="4" t="inlineStr">
        <is>
          <t>fx</t>
        </is>
      </c>
      <c r="D22" s="4" t="inlineStr">
        <is>
          <t>헤지비용</t>
        </is>
      </c>
      <c r="E22" s="5" t="inlineStr">
        <is>
          <t>FX</t>
        </is>
      </c>
      <c r="F22" s="5" t="inlineStr">
        <is>
          <t>USD1Y_SMBCB</t>
        </is>
      </c>
      <c r="G22" s="5" t="inlineStr">
        <is>
          <t>중간값</t>
        </is>
      </c>
      <c r="H22" s="4" t="inlineStr">
        <is>
          <t>원</t>
        </is>
      </c>
      <c r="I22" s="4" t="inlineStr">
        <is>
          <t>서울외환 중간값(1/100원 → 원 환산)</t>
        </is>
      </c>
      <c r="J22" s="4">
        <f>IF($F22="","",IF(AND($E22="ECO",$G22=""),IFERROR(1*_xll.IMDP("ECO",$F22,"현재가_월"),IFERROR(1*_xll.IMDP("ECO",$F22,"현재가_주"),IFERROR(1*_xll.IMDP("ECO",$F22,"현재가_일"),IFERROR(1*_xll.IMDP("ECO",$F22,"현재가_분기"),IFERROR(1*_xll.IMDP("ECO",$F22,"현재가_년"),""))))),IFERROR(1*_xll.IMDP($E22,$F22,$G22),"")))</f>
        <v/>
      </c>
      <c r="K22" s="4">
        <f>IF($F22="","",IF($E22="ECO",IFERROR(1*_xll.IMDP("ECO",$F22,"DATE_월"),IFERROR(1*_xll.IMDP("ECO",$F22,"DATE_주"),IFERROR(1*_xll.IMDP("ECO",$F22,"DATE_일"),IFERROR(1*_xll.IMDP("ECO",$F22,"DATE_분기"),IFERROR(1*_xll.IMDP("ECO",$F22,"DATE_년"),""))))),IF($E22="IR",IFERROR(1*_xll.IMDP($E22,$F22,"날짜(당일)"),""),IFERROR(1*_xll.IMDP($E22,$F22,"거래일"),IFERROR(1*_xll.IMDP($E22,$F22,"일자"),"")))))</f>
        <v/>
      </c>
      <c r="L22" s="4">
        <f>IF($F22="","코드 입력 필요",IF(ISNUMBER($J22),"OK","값 없음 — 코드·항목 확인"))</f>
        <v/>
      </c>
    </row>
    <row r="23">
      <c r="A23" s="4" t="inlineStr">
        <is>
          <t>kr_cpi_yoy</t>
        </is>
      </c>
      <c r="B23" s="4" t="inlineStr">
        <is>
          <t>소비자물가 전년비</t>
        </is>
      </c>
      <c r="C23" s="4" t="inlineStr">
        <is>
          <t>bond</t>
        </is>
      </c>
      <c r="D23" s="4" t="inlineStr">
        <is>
          <t>물가</t>
        </is>
      </c>
      <c r="E23" s="5" t="inlineStr">
        <is>
          <t>ECO</t>
        </is>
      </c>
      <c r="F23" s="5" t="inlineStr">
        <is>
          <t>701978</t>
        </is>
      </c>
      <c r="G23" s="5" t="inlineStr"/>
      <c r="H23" s="4" t="inlineStr">
        <is>
          <t>%</t>
        </is>
      </c>
      <c r="I23" s="4" t="inlineStr">
        <is>
          <t>월</t>
        </is>
      </c>
      <c r="J23" s="4">
        <f>IF($F23="","",IF(AND($E23="ECO",$G23=""),IFERROR(1*_xll.IMDP("ECO",$F23,"현재가_월"),IFERROR(1*_xll.IMDP("ECO",$F23,"현재가_주"),IFERROR(1*_xll.IMDP("ECO",$F23,"현재가_일"),IFERROR(1*_xll.IMDP("ECO",$F23,"현재가_분기"),IFERROR(1*_xll.IMDP("ECO",$F23,"현재가_년"),""))))),IFERROR(1*_xll.IMDP($E23,$F23,$G23),"")))</f>
        <v/>
      </c>
      <c r="K23" s="4">
        <f>IF($F23="","",IF($E23="ECO",IFERROR(1*_xll.IMDP("ECO",$F23,"DATE_월"),IFERROR(1*_xll.IMDP("ECO",$F23,"DATE_주"),IFERROR(1*_xll.IMDP("ECO",$F23,"DATE_일"),IFERROR(1*_xll.IMDP("ECO",$F23,"DATE_분기"),IFERROR(1*_xll.IMDP("ECO",$F23,"DATE_년"),""))))),IF($E23="IR",IFERROR(1*_xll.IMDP($E23,$F23,"날짜(당일)"),""),IFERROR(1*_xll.IMDP($E23,$F23,"거래일"),IFERROR(1*_xll.IMDP($E23,$F23,"일자"),"")))))</f>
        <v/>
      </c>
      <c r="L23" s="4">
        <f>IF($F23="","코드 입력 필요",IF(ISNUMBER($J23),"OK","값 없음 — 코드·항목 확인"))</f>
        <v/>
      </c>
    </row>
    <row r="24">
      <c r="A24" s="4" t="inlineStr">
        <is>
          <t>kr_unemp</t>
        </is>
      </c>
      <c r="B24" s="4" t="inlineStr">
        <is>
          <t>실업률</t>
        </is>
      </c>
      <c r="C24" s="4" t="inlineStr">
        <is>
          <t>bond</t>
        </is>
      </c>
      <c r="D24" s="4" t="inlineStr">
        <is>
          <t>고용</t>
        </is>
      </c>
      <c r="E24" s="5" t="inlineStr">
        <is>
          <t>ECO</t>
        </is>
      </c>
      <c r="F24" s="5" t="inlineStr">
        <is>
          <t>27</t>
        </is>
      </c>
      <c r="G24" s="5" t="inlineStr"/>
      <c r="H24" s="4" t="inlineStr">
        <is>
          <t>%</t>
        </is>
      </c>
      <c r="I24" s="4" t="inlineStr">
        <is>
          <t>월</t>
        </is>
      </c>
      <c r="J24" s="4">
        <f>IF($F24="","",IF(AND($E24="ECO",$G24=""),IFERROR(1*_xll.IMDP("ECO",$F24,"현재가_월"),IFERROR(1*_xll.IMDP("ECO",$F24,"현재가_주"),IFERROR(1*_xll.IMDP("ECO",$F24,"현재가_일"),IFERROR(1*_xll.IMDP("ECO",$F24,"현재가_분기"),IFERROR(1*_xll.IMDP("ECO",$F24,"현재가_년"),""))))),IFERROR(1*_xll.IMDP($E24,$F24,$G24),"")))</f>
        <v/>
      </c>
      <c r="K24" s="4">
        <f>IF($F24="","",IF($E24="ECO",IFERROR(1*_xll.IMDP("ECO",$F24,"DATE_월"),IFERROR(1*_xll.IMDP("ECO",$F24,"DATE_주"),IFERROR(1*_xll.IMDP("ECO",$F24,"DATE_일"),IFERROR(1*_xll.IMDP("ECO",$F24,"DATE_분기"),IFERROR(1*_xll.IMDP("ECO",$F24,"DATE_년"),""))))),IF($E24="IR",IFERROR(1*_xll.IMDP($E24,$F24,"날짜(당일)"),""),IFERROR(1*_xll.IMDP($E24,$F24,"거래일"),IFERROR(1*_xll.IMDP($E24,$F24,"일자"),"")))))</f>
        <v/>
      </c>
      <c r="L24" s="4">
        <f>IF($F24="","코드 입력 필요",IF(ISNUMBER($J24),"OK","값 없음 — 코드·항목 확인"))</f>
        <v/>
      </c>
    </row>
    <row r="25">
      <c r="A25" s="4" t="inlineStr">
        <is>
          <t>kr_employed</t>
        </is>
      </c>
      <c r="B25" s="4" t="inlineStr">
        <is>
          <t>취업자</t>
        </is>
      </c>
      <c r="C25" s="4" t="inlineStr">
        <is>
          <t>equity</t>
        </is>
      </c>
      <c r="D25" s="4" t="inlineStr">
        <is>
          <t>고용</t>
        </is>
      </c>
      <c r="E25" s="5" t="inlineStr">
        <is>
          <t>ECO</t>
        </is>
      </c>
      <c r="F25" s="5" t="inlineStr">
        <is>
          <t>30</t>
        </is>
      </c>
      <c r="G25" s="5" t="inlineStr"/>
      <c r="H25" s="4" t="inlineStr">
        <is>
          <t>천명</t>
        </is>
      </c>
      <c r="I25" s="4" t="inlineStr">
        <is>
          <t>월</t>
        </is>
      </c>
      <c r="J25" s="4">
        <f>IF($F25="","",IF(AND($E25="ECO",$G25=""),IFERROR(1*_xll.IMDP("ECO",$F25,"현재가_월"),IFERROR(1*_xll.IMDP("ECO",$F25,"현재가_주"),IFERROR(1*_xll.IMDP("ECO",$F25,"현재가_일"),IFERROR(1*_xll.IMDP("ECO",$F25,"현재가_분기"),IFERROR(1*_xll.IMDP("ECO",$F25,"현재가_년"),""))))),IFERROR(1*_xll.IMDP($E25,$F25,$G25),"")))</f>
        <v/>
      </c>
      <c r="K25" s="4">
        <f>IF($F25="","",IF($E25="ECO",IFERROR(1*_xll.IMDP("ECO",$F25,"DATE_월"),IFERROR(1*_xll.IMDP("ECO",$F25,"DATE_주"),IFERROR(1*_xll.IMDP("ECO",$F25,"DATE_일"),IFERROR(1*_xll.IMDP("ECO",$F25,"DATE_분기"),IFERROR(1*_xll.IMDP("ECO",$F25,"DATE_년"),""))))),IF($E25="IR",IFERROR(1*_xll.IMDP($E25,$F25,"날짜(당일)"),""),IFERROR(1*_xll.IMDP($E25,$F25,"거래일"),IFERROR(1*_xll.IMDP($E25,$F25,"일자"),"")))))</f>
        <v/>
      </c>
      <c r="L25" s="4">
        <f>IF($F25="","코드 입력 필요",IF(ISNUMBER($J25),"OK","값 없음 — 코드·항목 확인"))</f>
        <v/>
      </c>
    </row>
    <row r="26">
      <c r="A26" s="4" t="inlineStr">
        <is>
          <t>kr_leading</t>
        </is>
      </c>
      <c r="B26" s="4" t="inlineStr">
        <is>
          <t>선행지수 순환변동치</t>
        </is>
      </c>
      <c r="C26" s="4" t="inlineStr">
        <is>
          <t>equity</t>
        </is>
      </c>
      <c r="D26" s="4" t="inlineStr">
        <is>
          <t>경기</t>
        </is>
      </c>
      <c r="E26" s="5" t="inlineStr">
        <is>
          <t>ECO</t>
        </is>
      </c>
      <c r="F26" s="5" t="inlineStr">
        <is>
          <t>702165</t>
        </is>
      </c>
      <c r="G26" s="5" t="inlineStr"/>
      <c r="H26" s="4" t="inlineStr">
        <is>
          <t>p</t>
        </is>
      </c>
      <c r="I26" s="4" t="inlineStr">
        <is>
          <t>월</t>
        </is>
      </c>
      <c r="J26" s="4">
        <f>IF($F26="","",IF(AND($E26="ECO",$G26=""),IFERROR(1*_xll.IMDP("ECO",$F26,"현재가_월"),IFERROR(1*_xll.IMDP("ECO",$F26,"현재가_주"),IFERROR(1*_xll.IMDP("ECO",$F26,"현재가_일"),IFERROR(1*_xll.IMDP("ECO",$F26,"현재가_분기"),IFERROR(1*_xll.IMDP("ECO",$F26,"현재가_년"),""))))),IFERROR(1*_xll.IMDP($E26,$F26,$G26),"")))</f>
        <v/>
      </c>
      <c r="K26" s="4">
        <f>IF($F26="","",IF($E26="ECO",IFERROR(1*_xll.IMDP("ECO",$F26,"DATE_월"),IFERROR(1*_xll.IMDP("ECO",$F26,"DATE_주"),IFERROR(1*_xll.IMDP("ECO",$F26,"DATE_일"),IFERROR(1*_xll.IMDP("ECO",$F26,"DATE_분기"),IFERROR(1*_xll.IMDP("ECO",$F26,"DATE_년"),""))))),IF($E26="IR",IFERROR(1*_xll.IMDP($E26,$F26,"날짜(당일)"),""),IFERROR(1*_xll.IMDP($E26,$F26,"거래일"),IFERROR(1*_xll.IMDP($E26,$F26,"일자"),"")))))</f>
        <v/>
      </c>
      <c r="L26" s="4">
        <f>IF($F26="","코드 입력 필요",IF(ISNUMBER($J26),"OK","값 없음 — 코드·항목 확인"))</f>
        <v/>
      </c>
    </row>
    <row r="27">
      <c r="A27" s="4" t="inlineStr">
        <is>
          <t>kr_exports</t>
        </is>
      </c>
      <c r="B27" s="4" t="inlineStr">
        <is>
          <t>수출액</t>
        </is>
      </c>
      <c r="C27" s="4" t="inlineStr">
        <is>
          <t>equity</t>
        </is>
      </c>
      <c r="D27" s="4" t="inlineStr">
        <is>
          <t>경기</t>
        </is>
      </c>
      <c r="E27" s="5" t="inlineStr">
        <is>
          <t>ECO</t>
        </is>
      </c>
      <c r="F27" s="5" t="inlineStr">
        <is>
          <t>557150</t>
        </is>
      </c>
      <c r="G27" s="5" t="inlineStr"/>
      <c r="H27" s="4" t="inlineStr">
        <is>
          <t>천USD</t>
        </is>
      </c>
      <c r="I27" s="4" t="inlineStr">
        <is>
          <t>월</t>
        </is>
      </c>
      <c r="J27" s="4">
        <f>IF($F27="","",IF(AND($E27="ECO",$G27=""),IFERROR(1*_xll.IMDP("ECO",$F27,"현재가_월"),IFERROR(1*_xll.IMDP("ECO",$F27,"현재가_주"),IFERROR(1*_xll.IMDP("ECO",$F27,"현재가_일"),IFERROR(1*_xll.IMDP("ECO",$F27,"현재가_분기"),IFERROR(1*_xll.IMDP("ECO",$F27,"현재가_년"),""))))),IFERROR(1*_xll.IMDP($E27,$F27,$G27),"")))</f>
        <v/>
      </c>
      <c r="K27" s="4">
        <f>IF($F27="","",IF($E27="ECO",IFERROR(1*_xll.IMDP("ECO",$F27,"DATE_월"),IFERROR(1*_xll.IMDP("ECO",$F27,"DATE_주"),IFERROR(1*_xll.IMDP("ECO",$F27,"DATE_일"),IFERROR(1*_xll.IMDP("ECO",$F27,"DATE_분기"),IFERROR(1*_xll.IMDP("ECO",$F27,"DATE_년"),""))))),IF($E27="IR",IFERROR(1*_xll.IMDP($E27,$F27,"날짜(당일)"),""),IFERROR(1*_xll.IMDP($E27,$F27,"거래일"),IFERROR(1*_xll.IMDP($E27,$F27,"일자"),"")))))</f>
        <v/>
      </c>
      <c r="L27" s="4">
        <f>IF($F27="","코드 입력 필요",IF(ISNUMBER($J27),"OK","값 없음 — 코드·항목 확인"))</f>
        <v/>
      </c>
    </row>
    <row r="28">
      <c r="A28" s="4" t="inlineStr">
        <is>
          <t>kr_exports_20d</t>
        </is>
      </c>
      <c r="B28" s="4" t="inlineStr">
        <is>
          <t>수출액(20일)</t>
        </is>
      </c>
      <c r="C28" s="4" t="inlineStr">
        <is>
          <t>equity</t>
        </is>
      </c>
      <c r="D28" s="4" t="inlineStr">
        <is>
          <t>경기</t>
        </is>
      </c>
      <c r="E28" s="5" t="inlineStr">
        <is>
          <t>ECO</t>
        </is>
      </c>
      <c r="F28" s="5" t="inlineStr">
        <is>
          <t>705150</t>
        </is>
      </c>
      <c r="G28" s="5" t="inlineStr"/>
      <c r="H28" s="4" t="inlineStr">
        <is>
          <t>천USD</t>
        </is>
      </c>
      <c r="I28" s="4" t="inlineStr">
        <is>
          <t>월 중순 속보</t>
        </is>
      </c>
      <c r="J28" s="4">
        <f>IF($F28="","",IF(AND($E28="ECO",$G28=""),IFERROR(1*_xll.IMDP("ECO",$F28,"현재가_월"),IFERROR(1*_xll.IMDP("ECO",$F28,"현재가_주"),IFERROR(1*_xll.IMDP("ECO",$F28,"현재가_일"),IFERROR(1*_xll.IMDP("ECO",$F28,"현재가_분기"),IFERROR(1*_xll.IMDP("ECO",$F28,"현재가_년"),""))))),IFERROR(1*_xll.IMDP($E28,$F28,$G28),"")))</f>
        <v/>
      </c>
      <c r="K28" s="4">
        <f>IF($F28="","",IF($E28="ECO",IFERROR(1*_xll.IMDP("ECO",$F28,"DATE_월"),IFERROR(1*_xll.IMDP("ECO",$F28,"DATE_주"),IFERROR(1*_xll.IMDP("ECO",$F28,"DATE_일"),IFERROR(1*_xll.IMDP("ECO",$F28,"DATE_분기"),IFERROR(1*_xll.IMDP("ECO",$F28,"DATE_년"),""))))),IF($E28="IR",IFERROR(1*_xll.IMDP($E28,$F28,"날짜(당일)"),""),IFERROR(1*_xll.IMDP($E28,$F28,"거래일"),IFERROR(1*_xll.IMDP($E28,$F28,"일자"),"")))))</f>
        <v/>
      </c>
      <c r="L28" s="4">
        <f>IF($F28="","코드 입력 필요",IF(ISNUMBER($J28),"OK","값 없음 — 코드·항목 확인"))</f>
        <v/>
      </c>
    </row>
    <row r="29">
      <c r="A29" s="4" t="inlineStr">
        <is>
          <t>kr_ca</t>
        </is>
      </c>
      <c r="B29" s="4" t="inlineStr">
        <is>
          <t>경상수지</t>
        </is>
      </c>
      <c r="C29" s="4" t="inlineStr">
        <is>
          <t>fx</t>
        </is>
      </c>
      <c r="D29" s="4" t="inlineStr">
        <is>
          <t>대외</t>
        </is>
      </c>
      <c r="E29" s="5" t="inlineStr">
        <is>
          <t>ECO</t>
        </is>
      </c>
      <c r="F29" s="5" t="inlineStr">
        <is>
          <t>10</t>
        </is>
      </c>
      <c r="G29" s="5" t="inlineStr"/>
      <c r="H29" s="4" t="inlineStr">
        <is>
          <t>백만USD</t>
        </is>
      </c>
      <c r="I29" s="4" t="inlineStr">
        <is>
          <t>월</t>
        </is>
      </c>
      <c r="J29" s="4">
        <f>IF($F29="","",IF(AND($E29="ECO",$G29=""),IFERROR(1*_xll.IMDP("ECO",$F29,"현재가_월"),IFERROR(1*_xll.IMDP("ECO",$F29,"현재가_주"),IFERROR(1*_xll.IMDP("ECO",$F29,"현재가_일"),IFERROR(1*_xll.IMDP("ECO",$F29,"현재가_분기"),IFERROR(1*_xll.IMDP("ECO",$F29,"현재가_년"),""))))),IFERROR(1*_xll.IMDP($E29,$F29,$G29),"")))</f>
        <v/>
      </c>
      <c r="K29" s="4">
        <f>IF($F29="","",IF($E29="ECO",IFERROR(1*_xll.IMDP("ECO",$F29,"DATE_월"),IFERROR(1*_xll.IMDP("ECO",$F29,"DATE_주"),IFERROR(1*_xll.IMDP("ECO",$F29,"DATE_일"),IFERROR(1*_xll.IMDP("ECO",$F29,"DATE_분기"),IFERROR(1*_xll.IMDP("ECO",$F29,"DATE_년"),""))))),IF($E29="IR",IFERROR(1*_xll.IMDP($E29,$F29,"날짜(당일)"),""),IFERROR(1*_xll.IMDP($E29,$F29,"거래일"),IFERROR(1*_xll.IMDP($E29,$F29,"일자"),"")))))</f>
        <v/>
      </c>
      <c r="L29" s="4">
        <f>IF($F29="","코드 입력 필요",IF(ISNUMBER($J29),"OK","값 없음 — 코드·항목 확인"))</f>
        <v/>
      </c>
    </row>
    <row r="30">
      <c r="A30" s="4" t="inlineStr">
        <is>
          <t>kr_fxres</t>
        </is>
      </c>
      <c r="B30" s="4" t="inlineStr">
        <is>
          <t>외환보유액</t>
        </is>
      </c>
      <c r="C30" s="4" t="inlineStr">
        <is>
          <t>fx</t>
        </is>
      </c>
      <c r="D30" s="4" t="inlineStr">
        <is>
          <t>대외</t>
        </is>
      </c>
      <c r="E30" s="5" t="inlineStr">
        <is>
          <t>ECO</t>
        </is>
      </c>
      <c r="F30" s="5" t="inlineStr">
        <is>
          <t>400020</t>
        </is>
      </c>
      <c r="G30" s="5" t="inlineStr"/>
      <c r="H30" s="4" t="inlineStr">
        <is>
          <t>천USD</t>
        </is>
      </c>
      <c r="I30" s="4" t="inlineStr">
        <is>
          <t>월</t>
        </is>
      </c>
      <c r="J30" s="4">
        <f>IF($F30="","",IF(AND($E30="ECO",$G30=""),IFERROR(1*_xll.IMDP("ECO",$F30,"현재가_월"),IFERROR(1*_xll.IMDP("ECO",$F30,"현재가_주"),IFERROR(1*_xll.IMDP("ECO",$F30,"현재가_일"),IFERROR(1*_xll.IMDP("ECO",$F30,"현재가_분기"),IFERROR(1*_xll.IMDP("ECO",$F30,"현재가_년"),""))))),IFERROR(1*_xll.IMDP($E30,$F30,$G30),"")))</f>
        <v/>
      </c>
      <c r="K30" s="4">
        <f>IF($F30="","",IF($E30="ECO",IFERROR(1*_xll.IMDP("ECO",$F30,"DATE_월"),IFERROR(1*_xll.IMDP("ECO",$F30,"DATE_주"),IFERROR(1*_xll.IMDP("ECO",$F30,"DATE_일"),IFERROR(1*_xll.IMDP("ECO",$F30,"DATE_분기"),IFERROR(1*_xll.IMDP("ECO",$F30,"DATE_년"),""))))),IF($E30="IR",IFERROR(1*_xll.IMDP($E30,$F30,"날짜(당일)"),""),IFERROR(1*_xll.IMDP($E30,$F30,"거래일"),IFERROR(1*_xll.IMDP($E30,$F30,"일자"),"")))))</f>
        <v/>
      </c>
      <c r="L30" s="4">
        <f>IF($F30="","코드 입력 필요",IF(ISNUMBER($J30),"OK","값 없음 — 코드·항목 확인"))</f>
        <v/>
      </c>
    </row>
    <row r="31">
      <c r="A31" s="4" t="inlineStr">
        <is>
          <t>kr_csi</t>
        </is>
      </c>
      <c r="B31" s="4" t="inlineStr">
        <is>
          <t>소비자심리지수</t>
        </is>
      </c>
      <c r="C31" s="4" t="inlineStr">
        <is>
          <t>equity</t>
        </is>
      </c>
      <c r="D31" s="4" t="inlineStr">
        <is>
          <t>심리</t>
        </is>
      </c>
      <c r="E31" s="5" t="inlineStr">
        <is>
          <t>ECO</t>
        </is>
      </c>
      <c r="F31" s="5" t="inlineStr">
        <is>
          <t>701542</t>
        </is>
      </c>
      <c r="G31" s="5" t="inlineStr"/>
      <c r="H31" s="4" t="inlineStr">
        <is>
          <t>pt</t>
        </is>
      </c>
      <c r="I31" s="4" t="inlineStr">
        <is>
          <t>월</t>
        </is>
      </c>
      <c r="J31" s="4">
        <f>IF($F31="","",IF(AND($E31="ECO",$G31=""),IFERROR(1*_xll.IMDP("ECO",$F31,"현재가_월"),IFERROR(1*_xll.IMDP("ECO",$F31,"현재가_주"),IFERROR(1*_xll.IMDP("ECO",$F31,"현재가_일"),IFERROR(1*_xll.IMDP("ECO",$F31,"현재가_분기"),IFERROR(1*_xll.IMDP("ECO",$F31,"현재가_년"),""))))),IFERROR(1*_xll.IMDP($E31,$F31,$G31),"")))</f>
        <v/>
      </c>
      <c r="K31" s="4">
        <f>IF($F31="","",IF($E31="ECO",IFERROR(1*_xll.IMDP("ECO",$F31,"DATE_월"),IFERROR(1*_xll.IMDP("ECO",$F31,"DATE_주"),IFERROR(1*_xll.IMDP("ECO",$F31,"DATE_일"),IFERROR(1*_xll.IMDP("ECO",$F31,"DATE_분기"),IFERROR(1*_xll.IMDP("ECO",$F31,"DATE_년"),""))))),IF($E31="IR",IFERROR(1*_xll.IMDP($E31,$F31,"날짜(당일)"),""),IFERROR(1*_xll.IMDP($E31,$F31,"거래일"),IFERROR(1*_xll.IMDP($E31,$F31,"일자"),"")))))</f>
        <v/>
      </c>
      <c r="L31" s="4">
        <f>IF($F31="","코드 입력 필요",IF(ISNUMBER($J31),"OK","값 없음 — 코드·항목 확인"))</f>
        <v/>
      </c>
    </row>
    <row r="32">
      <c r="A32" s="4" t="inlineStr">
        <is>
          <t>kr_hh_loans</t>
        </is>
      </c>
      <c r="B32" s="4" t="inlineStr">
        <is>
          <t>가계대출(예금취급기관)</t>
        </is>
      </c>
      <c r="C32" s="4" t="inlineStr">
        <is>
          <t>bond</t>
        </is>
      </c>
      <c r="D32" s="4" t="inlineStr">
        <is>
          <t>신용·유동성</t>
        </is>
      </c>
      <c r="E32" s="5" t="inlineStr">
        <is>
          <t>ECO</t>
        </is>
      </c>
      <c r="F32" s="5" t="inlineStr">
        <is>
          <t>703216</t>
        </is>
      </c>
      <c r="G32" s="5" t="inlineStr"/>
      <c r="H32" s="4" t="inlineStr">
        <is>
          <t>십억원</t>
        </is>
      </c>
      <c r="I32" s="4" t="inlineStr">
        <is>
          <t>월</t>
        </is>
      </c>
      <c r="J32" s="4">
        <f>IF($F32="","",IF(AND($E32="ECO",$G32=""),IFERROR(1*_xll.IMDP("ECO",$F32,"현재가_월"),IFERROR(1*_xll.IMDP("ECO",$F32,"현재가_주"),IFERROR(1*_xll.IMDP("ECO",$F32,"현재가_일"),IFERROR(1*_xll.IMDP("ECO",$F32,"현재가_분기"),IFERROR(1*_xll.IMDP("ECO",$F32,"현재가_년"),""))))),IFERROR(1*_xll.IMDP($E32,$F32,$G32),"")))</f>
        <v/>
      </c>
      <c r="K32" s="4">
        <f>IF($F32="","",IF($E32="ECO",IFERROR(1*_xll.IMDP("ECO",$F32,"DATE_월"),IFERROR(1*_xll.IMDP("ECO",$F32,"DATE_주"),IFERROR(1*_xll.IMDP("ECO",$F32,"DATE_일"),IFERROR(1*_xll.IMDP("ECO",$F32,"DATE_분기"),IFERROR(1*_xll.IMDP("ECO",$F32,"DATE_년"),""))))),IF($E32="IR",IFERROR(1*_xll.IMDP($E32,$F32,"날짜(당일)"),""),IFERROR(1*_xll.IMDP($E32,$F32,"거래일"),IFERROR(1*_xll.IMDP($E32,$F32,"일자"),"")))))</f>
        <v/>
      </c>
      <c r="L32" s="4">
        <f>IF($F32="","코드 입력 필요",IF(ISNUMBER($J32),"OK","값 없음 — 코드·항목 확인"))</f>
        <v/>
      </c>
    </row>
    <row r="33">
      <c r="A33" s="4" t="inlineStr">
        <is>
          <t>us_cpi</t>
        </is>
      </c>
      <c r="B33" s="4" t="inlineStr">
        <is>
          <t>미국 CPI 전년비</t>
        </is>
      </c>
      <c r="C33" s="4" t="inlineStr">
        <is>
          <t>bond</t>
        </is>
      </c>
      <c r="D33" s="4" t="inlineStr">
        <is>
          <t>물가</t>
        </is>
      </c>
      <c r="E33" s="5" t="inlineStr">
        <is>
          <t>ECO</t>
        </is>
      </c>
      <c r="F33" s="5" t="inlineStr">
        <is>
          <t>135012</t>
        </is>
      </c>
      <c r="G33" s="5" t="inlineStr">
        <is>
          <t>전년비_월</t>
        </is>
      </c>
      <c r="H33" s="4" t="inlineStr">
        <is>
          <t>%</t>
        </is>
      </c>
      <c r="I33" s="4" t="inlineStr">
        <is>
          <t>월 · 계절조정 지수의 전년비</t>
        </is>
      </c>
      <c r="J33" s="4">
        <f>IF($F33="","",IF(AND($E33="ECO",$G33=""),IFERROR(1*_xll.IMDP("ECO",$F33,"현재가_월"),IFERROR(1*_xll.IMDP("ECO",$F33,"현재가_주"),IFERROR(1*_xll.IMDP("ECO",$F33,"현재가_일"),IFERROR(1*_xll.IMDP("ECO",$F33,"현재가_분기"),IFERROR(1*_xll.IMDP("ECO",$F33,"현재가_년"),""))))),IFERROR(1*_xll.IMDP($E33,$F33,$G33),"")))</f>
        <v/>
      </c>
      <c r="K33" s="4">
        <f>IF($F33="","",IF($E33="ECO",IFERROR(1*_xll.IMDP("ECO",$F33,"DATE_월"),IFERROR(1*_xll.IMDP("ECO",$F33,"DATE_주"),IFERROR(1*_xll.IMDP("ECO",$F33,"DATE_일"),IFERROR(1*_xll.IMDP("ECO",$F33,"DATE_분기"),IFERROR(1*_xll.IMDP("ECO",$F33,"DATE_년"),""))))),IF($E33="IR",IFERROR(1*_xll.IMDP($E33,$F33,"날짜(당일)"),""),IFERROR(1*_xll.IMDP($E33,$F33,"거래일"),IFERROR(1*_xll.IMDP($E33,$F33,"일자"),"")))))</f>
        <v/>
      </c>
      <c r="L33" s="4">
        <f>IF($F33="","코드 입력 필요",IF(ISNUMBER($J33),"OK","값 없음 — 코드·항목 확인"))</f>
        <v/>
      </c>
    </row>
    <row r="34">
      <c r="A34" s="4" t="inlineStr">
        <is>
          <t>us_core_cpi</t>
        </is>
      </c>
      <c r="B34" s="4" t="inlineStr">
        <is>
          <t>미국 근원 CPI 전년비</t>
        </is>
      </c>
      <c r="C34" s="4" t="inlineStr">
        <is>
          <t>bond</t>
        </is>
      </c>
      <c r="D34" s="4" t="inlineStr">
        <is>
          <t>물가</t>
        </is>
      </c>
      <c r="E34" s="5" t="inlineStr">
        <is>
          <t>ECO</t>
        </is>
      </c>
      <c r="F34" s="5" t="inlineStr">
        <is>
          <t>135013</t>
        </is>
      </c>
      <c r="G34" s="5" t="inlineStr">
        <is>
          <t>전년비_월</t>
        </is>
      </c>
      <c r="H34" s="4" t="inlineStr">
        <is>
          <t>%</t>
        </is>
      </c>
      <c r="I34" s="4" t="inlineStr">
        <is>
          <t>월 · 계절조정 지수의 전년비</t>
        </is>
      </c>
      <c r="J34" s="4">
        <f>IF($F34="","",IF(AND($E34="ECO",$G34=""),IFERROR(1*_xll.IMDP("ECO",$F34,"현재가_월"),IFERROR(1*_xll.IMDP("ECO",$F34,"현재가_주"),IFERROR(1*_xll.IMDP("ECO",$F34,"현재가_일"),IFERROR(1*_xll.IMDP("ECO",$F34,"현재가_분기"),IFERROR(1*_xll.IMDP("ECO",$F34,"현재가_년"),""))))),IFERROR(1*_xll.IMDP($E34,$F34,$G34),"")))</f>
        <v/>
      </c>
      <c r="K34" s="4">
        <f>IF($F34="","",IF($E34="ECO",IFERROR(1*_xll.IMDP("ECO",$F34,"DATE_월"),IFERROR(1*_xll.IMDP("ECO",$F34,"DATE_주"),IFERROR(1*_xll.IMDP("ECO",$F34,"DATE_일"),IFERROR(1*_xll.IMDP("ECO",$F34,"DATE_분기"),IFERROR(1*_xll.IMDP("ECO",$F34,"DATE_년"),""))))),IF($E34="IR",IFERROR(1*_xll.IMDP($E34,$F34,"날짜(당일)"),""),IFERROR(1*_xll.IMDP($E34,$F34,"거래일"),IFERROR(1*_xll.IMDP($E34,$F34,"일자"),"")))))</f>
        <v/>
      </c>
      <c r="L34" s="4">
        <f>IF($F34="","코드 입력 필요",IF(ISNUMBER($J34),"OK","값 없음 — 코드·항목 확인"))</f>
        <v/>
      </c>
    </row>
    <row r="35">
      <c r="A35" s="4" t="inlineStr">
        <is>
          <t>us_pce_yoy</t>
        </is>
      </c>
      <c r="B35" s="4" t="inlineStr">
        <is>
          <t>미국 PCE 전년비</t>
        </is>
      </c>
      <c r="C35" s="4" t="inlineStr">
        <is>
          <t>bond</t>
        </is>
      </c>
      <c r="D35" s="4" t="inlineStr">
        <is>
          <t>물가</t>
        </is>
      </c>
      <c r="E35" s="5" t="inlineStr">
        <is>
          <t>ECO</t>
        </is>
      </c>
      <c r="F35" s="5" t="inlineStr">
        <is>
          <t>705121</t>
        </is>
      </c>
      <c r="G35" s="5" t="inlineStr"/>
      <c r="H35" s="4" t="inlineStr">
        <is>
          <t>%</t>
        </is>
      </c>
      <c r="I35" s="4" t="inlineStr">
        <is>
          <t>월</t>
        </is>
      </c>
      <c r="J35" s="4">
        <f>IF($F35="","",IF(AND($E35="ECO",$G35=""),IFERROR(1*_xll.IMDP("ECO",$F35,"현재가_월"),IFERROR(1*_xll.IMDP("ECO",$F35,"현재가_주"),IFERROR(1*_xll.IMDP("ECO",$F35,"현재가_일"),IFERROR(1*_xll.IMDP("ECO",$F35,"현재가_분기"),IFERROR(1*_xll.IMDP("ECO",$F35,"현재가_년"),""))))),IFERROR(1*_xll.IMDP($E35,$F35,$G35),"")))</f>
        <v/>
      </c>
      <c r="K35" s="4">
        <f>IF($F35="","",IF($E35="ECO",IFERROR(1*_xll.IMDP("ECO",$F35,"DATE_월"),IFERROR(1*_xll.IMDP("ECO",$F35,"DATE_주"),IFERROR(1*_xll.IMDP("ECO",$F35,"DATE_일"),IFERROR(1*_xll.IMDP("ECO",$F35,"DATE_분기"),IFERROR(1*_xll.IMDP("ECO",$F35,"DATE_년"),""))))),IF($E35="IR",IFERROR(1*_xll.IMDP($E35,$F35,"날짜(당일)"),""),IFERROR(1*_xll.IMDP($E35,$F35,"거래일"),IFERROR(1*_xll.IMDP($E35,$F35,"일자"),"")))))</f>
        <v/>
      </c>
      <c r="L35" s="4">
        <f>IF($F35="","코드 입력 필요",IF(ISNUMBER($J35),"OK","값 없음 — 코드·항목 확인"))</f>
        <v/>
      </c>
    </row>
    <row r="36">
      <c r="A36" s="4" t="inlineStr">
        <is>
          <t>us_nfp</t>
        </is>
      </c>
      <c r="B36" s="4" t="inlineStr">
        <is>
          <t>미국 비농업 고용자수</t>
        </is>
      </c>
      <c r="C36" s="4" t="inlineStr">
        <is>
          <t>bond</t>
        </is>
      </c>
      <c r="D36" s="4" t="inlineStr">
        <is>
          <t>고용</t>
        </is>
      </c>
      <c r="E36" s="5" t="inlineStr">
        <is>
          <t>ECO</t>
        </is>
      </c>
      <c r="F36" s="5" t="inlineStr">
        <is>
          <t>130015</t>
        </is>
      </c>
      <c r="G36" s="5" t="inlineStr"/>
      <c r="H36" s="4" t="inlineStr">
        <is>
          <t>천명</t>
        </is>
      </c>
      <c r="I36" s="4" t="inlineStr">
        <is>
          <t>월</t>
        </is>
      </c>
      <c r="J36" s="4">
        <f>IF($F36="","",IF(AND($E36="ECO",$G36=""),IFERROR(1*_xll.IMDP("ECO",$F36,"현재가_월"),IFERROR(1*_xll.IMDP("ECO",$F36,"현재가_주"),IFERROR(1*_xll.IMDP("ECO",$F36,"현재가_일"),IFERROR(1*_xll.IMDP("ECO",$F36,"현재가_분기"),IFERROR(1*_xll.IMDP("ECO",$F36,"현재가_년"),""))))),IFERROR(1*_xll.IMDP($E36,$F36,$G36),"")))</f>
        <v/>
      </c>
      <c r="K36" s="4">
        <f>IF($F36="","",IF($E36="ECO",IFERROR(1*_xll.IMDP("ECO",$F36,"DATE_월"),IFERROR(1*_xll.IMDP("ECO",$F36,"DATE_주"),IFERROR(1*_xll.IMDP("ECO",$F36,"DATE_일"),IFERROR(1*_xll.IMDP("ECO",$F36,"DATE_분기"),IFERROR(1*_xll.IMDP("ECO",$F36,"DATE_년"),""))))),IF($E36="IR",IFERROR(1*_xll.IMDP($E36,$F36,"날짜(당일)"),""),IFERROR(1*_xll.IMDP($E36,$F36,"거래일"),IFERROR(1*_xll.IMDP($E36,$F36,"일자"),"")))))</f>
        <v/>
      </c>
      <c r="L36" s="4">
        <f>IF($F36="","코드 입력 필요",IF(ISNUMBER($J36),"OK","값 없음 — 코드·항목 확인"))</f>
        <v/>
      </c>
    </row>
    <row r="37">
      <c r="A37" s="4" t="inlineStr">
        <is>
          <t>us_unemp</t>
        </is>
      </c>
      <c r="B37" s="4" t="inlineStr">
        <is>
          <t>미국 실업률</t>
        </is>
      </c>
      <c r="C37" s="4" t="inlineStr">
        <is>
          <t>bond</t>
        </is>
      </c>
      <c r="D37" s="4" t="inlineStr">
        <is>
          <t>고용</t>
        </is>
      </c>
      <c r="E37" s="5" t="inlineStr">
        <is>
          <t>ECO</t>
        </is>
      </c>
      <c r="F37" s="5" t="inlineStr">
        <is>
          <t>130001</t>
        </is>
      </c>
      <c r="G37" s="5" t="inlineStr"/>
      <c r="H37" s="4" t="inlineStr">
        <is>
          <t>%</t>
        </is>
      </c>
      <c r="I37" s="4" t="inlineStr">
        <is>
          <t>월</t>
        </is>
      </c>
      <c r="J37" s="4">
        <f>IF($F37="","",IF(AND($E37="ECO",$G37=""),IFERROR(1*_xll.IMDP("ECO",$F37,"현재가_월"),IFERROR(1*_xll.IMDP("ECO",$F37,"현재가_주"),IFERROR(1*_xll.IMDP("ECO",$F37,"현재가_일"),IFERROR(1*_xll.IMDP("ECO",$F37,"현재가_분기"),IFERROR(1*_xll.IMDP("ECO",$F37,"현재가_년"),""))))),IFERROR(1*_xll.IMDP($E37,$F37,$G37),"")))</f>
        <v/>
      </c>
      <c r="K37" s="4">
        <f>IF($F37="","",IF($E37="ECO",IFERROR(1*_xll.IMDP("ECO",$F37,"DATE_월"),IFERROR(1*_xll.IMDP("ECO",$F37,"DATE_주"),IFERROR(1*_xll.IMDP("ECO",$F37,"DATE_일"),IFERROR(1*_xll.IMDP("ECO",$F37,"DATE_분기"),IFERROR(1*_xll.IMDP("ECO",$F37,"DATE_년"),""))))),IF($E37="IR",IFERROR(1*_xll.IMDP($E37,$F37,"날짜(당일)"),""),IFERROR(1*_xll.IMDP($E37,$F37,"거래일"),IFERROR(1*_xll.IMDP($E37,$F37,"일자"),"")))))</f>
        <v/>
      </c>
      <c r="L37" s="4">
        <f>IF($F37="","코드 입력 필요",IF(ISNUMBER($J37),"OK","값 없음 — 코드·항목 확인"))</f>
        <v/>
      </c>
    </row>
    <row r="38">
      <c r="A38" s="4" t="inlineStr">
        <is>
          <t>us_claims</t>
        </is>
      </c>
      <c r="B38" s="4" t="inlineStr">
        <is>
          <t>미국 신규 실업수당청구</t>
        </is>
      </c>
      <c r="C38" s="4" t="inlineStr">
        <is>
          <t>bond</t>
        </is>
      </c>
      <c r="D38" s="4" t="inlineStr">
        <is>
          <t>고용</t>
        </is>
      </c>
      <c r="E38" s="5" t="inlineStr">
        <is>
          <t>ECO</t>
        </is>
      </c>
      <c r="F38" s="5" t="inlineStr">
        <is>
          <t>130002</t>
        </is>
      </c>
      <c r="G38" s="5" t="inlineStr"/>
      <c r="H38" s="4" t="inlineStr">
        <is>
          <t>천명</t>
        </is>
      </c>
      <c r="I38" s="4" t="inlineStr">
        <is>
          <t>주</t>
        </is>
      </c>
      <c r="J38" s="4">
        <f>IF($F38="","",IF(AND($E38="ECO",$G38=""),IFERROR(1*_xll.IMDP("ECO",$F38,"현재가_월"),IFERROR(1*_xll.IMDP("ECO",$F38,"현재가_주"),IFERROR(1*_xll.IMDP("ECO",$F38,"현재가_일"),IFERROR(1*_xll.IMDP("ECO",$F38,"현재가_분기"),IFERROR(1*_xll.IMDP("ECO",$F38,"현재가_년"),""))))),IFERROR(1*_xll.IMDP($E38,$F38,$G38),"")))</f>
        <v/>
      </c>
      <c r="K38" s="4">
        <f>IF($F38="","",IF($E38="ECO",IFERROR(1*_xll.IMDP("ECO",$F38,"DATE_월"),IFERROR(1*_xll.IMDP("ECO",$F38,"DATE_주"),IFERROR(1*_xll.IMDP("ECO",$F38,"DATE_일"),IFERROR(1*_xll.IMDP("ECO",$F38,"DATE_분기"),IFERROR(1*_xll.IMDP("ECO",$F38,"DATE_년"),""))))),IF($E38="IR",IFERROR(1*_xll.IMDP($E38,$F38,"날짜(당일)"),""),IFERROR(1*_xll.IMDP($E38,$F38,"거래일"),IFERROR(1*_xll.IMDP($E38,$F38,"일자"),"")))))</f>
        <v/>
      </c>
      <c r="L38" s="4">
        <f>IF($F38="","코드 입력 필요",IF(ISNUMBER($J38),"OK","값 없음 — 코드·항목 확인"))</f>
        <v/>
      </c>
    </row>
    <row r="39">
      <c r="A39" s="4" t="inlineStr">
        <is>
          <t>us_ism_mfg</t>
        </is>
      </c>
      <c r="B39" s="4" t="inlineStr">
        <is>
          <t>미국 ISM 제조업</t>
        </is>
      </c>
      <c r="C39" s="4" t="inlineStr">
        <is>
          <t>equity</t>
        </is>
      </c>
      <c r="D39" s="4" t="inlineStr">
        <is>
          <t>경기</t>
        </is>
      </c>
      <c r="E39" s="5" t="inlineStr">
        <is>
          <t>ECO</t>
        </is>
      </c>
      <c r="F39" s="5" t="inlineStr">
        <is>
          <t>131001</t>
        </is>
      </c>
      <c r="G39" s="5" t="inlineStr"/>
      <c r="H39" s="4" t="inlineStr">
        <is>
          <t>pt</t>
        </is>
      </c>
      <c r="I39" s="4" t="inlineStr">
        <is>
          <t>월</t>
        </is>
      </c>
      <c r="J39" s="4">
        <f>IF($F39="","",IF(AND($E39="ECO",$G39=""),IFERROR(1*_xll.IMDP("ECO",$F39,"현재가_월"),IFERROR(1*_xll.IMDP("ECO",$F39,"현재가_주"),IFERROR(1*_xll.IMDP("ECO",$F39,"현재가_일"),IFERROR(1*_xll.IMDP("ECO",$F39,"현재가_분기"),IFERROR(1*_xll.IMDP("ECO",$F39,"현재가_년"),""))))),IFERROR(1*_xll.IMDP($E39,$F39,$G39),"")))</f>
        <v/>
      </c>
      <c r="K39" s="4">
        <f>IF($F39="","",IF($E39="ECO",IFERROR(1*_xll.IMDP("ECO",$F39,"DATE_월"),IFERROR(1*_xll.IMDP("ECO",$F39,"DATE_주"),IFERROR(1*_xll.IMDP("ECO",$F39,"DATE_일"),IFERROR(1*_xll.IMDP("ECO",$F39,"DATE_분기"),IFERROR(1*_xll.IMDP("ECO",$F39,"DATE_년"),""))))),IF($E39="IR",IFERROR(1*_xll.IMDP($E39,$F39,"날짜(당일)"),""),IFERROR(1*_xll.IMDP($E39,$F39,"거래일"),IFERROR(1*_xll.IMDP($E39,$F39,"일자"),"")))))</f>
        <v/>
      </c>
      <c r="L39" s="4">
        <f>IF($F39="","코드 입력 필요",IF(ISNUMBER($J39),"OK","값 없음 — 코드·항목 확인"))</f>
        <v/>
      </c>
    </row>
    <row r="40">
      <c r="A40" s="4" t="inlineStr">
        <is>
          <t>us_ism_svc</t>
        </is>
      </c>
      <c r="B40" s="4" t="inlineStr">
        <is>
          <t>미국 ISM 비제조업</t>
        </is>
      </c>
      <c r="C40" s="4" t="inlineStr">
        <is>
          <t>equity</t>
        </is>
      </c>
      <c r="D40" s="4" t="inlineStr">
        <is>
          <t>경기</t>
        </is>
      </c>
      <c r="E40" s="5" t="inlineStr">
        <is>
          <t>ECO</t>
        </is>
      </c>
      <c r="F40" s="5" t="inlineStr">
        <is>
          <t>131002</t>
        </is>
      </c>
      <c r="G40" s="5" t="inlineStr"/>
      <c r="H40" s="4" t="inlineStr">
        <is>
          <t>pt</t>
        </is>
      </c>
      <c r="I40" s="4" t="inlineStr">
        <is>
          <t>월</t>
        </is>
      </c>
      <c r="J40" s="4">
        <f>IF($F40="","",IF(AND($E40="ECO",$G40=""),IFERROR(1*_xll.IMDP("ECO",$F40,"현재가_월"),IFERROR(1*_xll.IMDP("ECO",$F40,"현재가_주"),IFERROR(1*_xll.IMDP("ECO",$F40,"현재가_일"),IFERROR(1*_xll.IMDP("ECO",$F40,"현재가_분기"),IFERROR(1*_xll.IMDP("ECO",$F40,"현재가_년"),""))))),IFERROR(1*_xll.IMDP($E40,$F40,$G40),"")))</f>
        <v/>
      </c>
      <c r="K40" s="4">
        <f>IF($F40="","",IF($E40="ECO",IFERROR(1*_xll.IMDP("ECO",$F40,"DATE_월"),IFERROR(1*_xll.IMDP("ECO",$F40,"DATE_주"),IFERROR(1*_xll.IMDP("ECO",$F40,"DATE_일"),IFERROR(1*_xll.IMDP("ECO",$F40,"DATE_분기"),IFERROR(1*_xll.IMDP("ECO",$F40,"DATE_년"),""))))),IF($E40="IR",IFERROR(1*_xll.IMDP($E40,$F40,"날짜(당일)"),""),IFERROR(1*_xll.IMDP($E40,$F40,"거래일"),IFERROR(1*_xll.IMDP($E40,$F40,"일자"),"")))))</f>
        <v/>
      </c>
      <c r="L40" s="4">
        <f>IF($F40="","코드 입력 필요",IF(ISNUMBER($J40),"OK","값 없음 — 코드·항목 확인"))</f>
        <v/>
      </c>
    </row>
    <row r="41">
      <c r="A41" s="4" t="inlineStr">
        <is>
          <t>us_retail</t>
        </is>
      </c>
      <c r="B41" s="4" t="inlineStr">
        <is>
          <t>미국 소매매출</t>
        </is>
      </c>
      <c r="C41" s="4" t="inlineStr">
        <is>
          <t>equity</t>
        </is>
      </c>
      <c r="D41" s="4" t="inlineStr">
        <is>
          <t>소비</t>
        </is>
      </c>
      <c r="E41" s="5" t="inlineStr">
        <is>
          <t>ECO</t>
        </is>
      </c>
      <c r="F41" s="5" t="inlineStr">
        <is>
          <t>132020</t>
        </is>
      </c>
      <c r="G41" s="5" t="inlineStr"/>
      <c r="H41" s="4" t="inlineStr">
        <is>
          <t>백만USD</t>
        </is>
      </c>
      <c r="I41" s="4" t="inlineStr">
        <is>
          <t>월</t>
        </is>
      </c>
      <c r="J41" s="4">
        <f>IF($F41="","",IF(AND($E41="ECO",$G41=""),IFERROR(1*_xll.IMDP("ECO",$F41,"현재가_월"),IFERROR(1*_xll.IMDP("ECO",$F41,"현재가_주"),IFERROR(1*_xll.IMDP("ECO",$F41,"현재가_일"),IFERROR(1*_xll.IMDP("ECO",$F41,"현재가_분기"),IFERROR(1*_xll.IMDP("ECO",$F41,"현재가_년"),""))))),IFERROR(1*_xll.IMDP($E41,$F41,$G41),"")))</f>
        <v/>
      </c>
      <c r="K41" s="4">
        <f>IF($F41="","",IF($E41="ECO",IFERROR(1*_xll.IMDP("ECO",$F41,"DATE_월"),IFERROR(1*_xll.IMDP("ECO",$F41,"DATE_주"),IFERROR(1*_xll.IMDP("ECO",$F41,"DATE_일"),IFERROR(1*_xll.IMDP("ECO",$F41,"DATE_분기"),IFERROR(1*_xll.IMDP("ECO",$F41,"DATE_년"),""))))),IF($E41="IR",IFERROR(1*_xll.IMDP($E41,$F41,"날짜(당일)"),""),IFERROR(1*_xll.IMDP($E41,$F41,"거래일"),IFERROR(1*_xll.IMDP($E41,$F41,"일자"),"")))))</f>
        <v/>
      </c>
      <c r="L41" s="4">
        <f>IF($F41="","코드 입력 필요",IF(ISNUMBER($J41),"OK","값 없음 — 코드·항목 확인"))</f>
        <v/>
      </c>
    </row>
    <row r="42">
      <c r="A42" s="4" t="inlineStr">
        <is>
          <t>cn_pmi</t>
        </is>
      </c>
      <c r="B42" s="4" t="inlineStr">
        <is>
          <t>중국 제조업 PMI</t>
        </is>
      </c>
      <c r="C42" s="4" t="inlineStr">
        <is>
          <t>equity</t>
        </is>
      </c>
      <c r="D42" s="4" t="inlineStr">
        <is>
          <t>경기</t>
        </is>
      </c>
      <c r="E42" s="5" t="inlineStr">
        <is>
          <t>ECO</t>
        </is>
      </c>
      <c r="F42" s="5" t="inlineStr">
        <is>
          <t>702440</t>
        </is>
      </c>
      <c r="G42" s="5" t="inlineStr"/>
      <c r="H42" s="4" t="inlineStr">
        <is>
          <t>pt</t>
        </is>
      </c>
      <c r="I42" s="4" t="inlineStr">
        <is>
          <t>월</t>
        </is>
      </c>
      <c r="J42" s="4">
        <f>IF($F42="","",IF(AND($E42="ECO",$G42=""),IFERROR(1*_xll.IMDP("ECO",$F42,"현재가_월"),IFERROR(1*_xll.IMDP("ECO",$F42,"현재가_주"),IFERROR(1*_xll.IMDP("ECO",$F42,"현재가_일"),IFERROR(1*_xll.IMDP("ECO",$F42,"현재가_분기"),IFERROR(1*_xll.IMDP("ECO",$F42,"현재가_년"),""))))),IFERROR(1*_xll.IMDP($E42,$F42,$G42),"")))</f>
        <v/>
      </c>
      <c r="K42" s="4">
        <f>IF($F42="","",IF($E42="ECO",IFERROR(1*_xll.IMDP("ECO",$F42,"DATE_월"),IFERROR(1*_xll.IMDP("ECO",$F42,"DATE_주"),IFERROR(1*_xll.IMDP("ECO",$F42,"DATE_일"),IFERROR(1*_xll.IMDP("ECO",$F42,"DATE_분기"),IFERROR(1*_xll.IMDP("ECO",$F42,"DATE_년"),""))))),IF($E42="IR",IFERROR(1*_xll.IMDP($E42,$F42,"날짜(당일)"),""),IFERROR(1*_xll.IMDP($E42,$F42,"거래일"),IFERROR(1*_xll.IMDP($E42,$F42,"일자"),"")))))</f>
        <v/>
      </c>
      <c r="L42" s="4">
        <f>IF($F42="","코드 입력 필요",IF(ISNUMBER($J42),"OK","값 없음 — 코드·항목 확인"))</f>
        <v/>
      </c>
    </row>
    <row r="43">
      <c r="A43" s="4" t="inlineStr">
        <is>
          <t>ez_cpi</t>
        </is>
      </c>
      <c r="B43" s="4" t="inlineStr">
        <is>
          <t>유로존 소비자물가 전년비</t>
        </is>
      </c>
      <c r="C43" s="4" t="inlineStr">
        <is>
          <t>bond</t>
        </is>
      </c>
      <c r="D43" s="4" t="inlineStr">
        <is>
          <t>물가</t>
        </is>
      </c>
      <c r="E43" s="5" t="inlineStr">
        <is>
          <t>ECO</t>
        </is>
      </c>
      <c r="F43" s="5" t="inlineStr">
        <is>
          <t>700344</t>
        </is>
      </c>
      <c r="G43" s="5" t="inlineStr">
        <is>
          <t>전년비_월</t>
        </is>
      </c>
      <c r="H43" s="4" t="inlineStr">
        <is>
          <t>%</t>
        </is>
      </c>
      <c r="I43" s="4" t="inlineStr">
        <is>
          <t>월 · 지수의 전년비</t>
        </is>
      </c>
      <c r="J43" s="4">
        <f>IF($F43="","",IF(AND($E43="ECO",$G43=""),IFERROR(1*_xll.IMDP("ECO",$F43,"현재가_월"),IFERROR(1*_xll.IMDP("ECO",$F43,"현재가_주"),IFERROR(1*_xll.IMDP("ECO",$F43,"현재가_일"),IFERROR(1*_xll.IMDP("ECO",$F43,"현재가_분기"),IFERROR(1*_xll.IMDP("ECO",$F43,"현재가_년"),""))))),IFERROR(1*_xll.IMDP($E43,$F43,$G43),"")))</f>
        <v/>
      </c>
      <c r="K43" s="4">
        <f>IF($F43="","",IF($E43="ECO",IFERROR(1*_xll.IMDP("ECO",$F43,"DATE_월"),IFERROR(1*_xll.IMDP("ECO",$F43,"DATE_주"),IFERROR(1*_xll.IMDP("ECO",$F43,"DATE_일"),IFERROR(1*_xll.IMDP("ECO",$F43,"DATE_분기"),IFERROR(1*_xll.IMDP("ECO",$F43,"DATE_년"),""))))),IF($E43="IR",IFERROR(1*_xll.IMDP($E43,$F43,"날짜(당일)"),""),IFERROR(1*_xll.IMDP($E43,$F43,"거래일"),IFERROR(1*_xll.IMDP($E43,$F43,"일자"),"")))))</f>
        <v/>
      </c>
      <c r="L43" s="4">
        <f>IF($F43="","코드 입력 필요",IF(ISNUMBER($J43),"OK","값 없음 — 코드·항목 확인"))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34" customWidth="1" min="3" max="3"/>
    <col width="10" customWidth="1" min="4" max="4"/>
    <col width="6" customWidth="1" min="5" max="5"/>
    <col width="8" customWidth="1" min="6" max="6"/>
    <col width="16" customWidth="1" min="7" max="7"/>
    <col width="9" customWidth="1" min="8" max="8"/>
    <col width="10" customWidth="1" min="9" max="9"/>
  </cols>
  <sheetData>
    <row r="1">
      <c r="A1" s="1" t="inlineStr">
        <is>
          <t>경제지표 발표 일정 (IMDT) — 최근 3일 ~ 향후 14일, 한국·미국·중국·유럽·일본</t>
        </is>
      </c>
    </row>
    <row r="2">
      <c r="A2" s="3" t="inlineStr">
        <is>
          <t>발표일시</t>
        </is>
      </c>
      <c r="B2" s="3" t="inlineStr">
        <is>
          <t>기준일자</t>
        </is>
      </c>
      <c r="C2" s="3" t="inlineStr">
        <is>
          <t>내용</t>
        </is>
      </c>
      <c r="D2" s="3" t="inlineStr">
        <is>
          <t>실제치</t>
        </is>
      </c>
      <c r="E2" s="3" t="inlineStr">
        <is>
          <t>주기</t>
        </is>
      </c>
      <c r="F2" s="3" t="inlineStr">
        <is>
          <t>국가</t>
        </is>
      </c>
      <c r="G2" s="3" t="inlineStr">
        <is>
          <t>발표처</t>
        </is>
      </c>
      <c r="H2" s="3" t="inlineStr">
        <is>
          <t>단위</t>
        </is>
      </c>
      <c r="I2" s="3" t="inlineStr">
        <is>
          <t>종목코드</t>
        </is>
      </c>
      <c r="K2" t="inlineStr">
        <is>
          <t>조회 기간</t>
        </is>
      </c>
      <c r="L2">
        <f>TEXT(TODAY()-3,"yyyymmdd")&amp;"~"&amp;TEXT(TODAY()+14,"yyyymmdd")</f>
        <v/>
      </c>
    </row>
    <row r="3">
      <c r="A3">
        <f>_xll.IMDT("경제지표","CALENDAR",$A$2:$I$2,80,$L$2,$L$3,"발표일시","Sort=A,DtFmt=1,TmFmt=1,Pos=20")</f>
        <v/>
      </c>
      <c r="K3" t="inlineStr">
        <is>
          <t>국가</t>
        </is>
      </c>
      <c r="L3" s="6" t="inlineStr">
        <is>
          <t>한국|미국|중국|유럽|일본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4" customWidth="1" min="3" max="3"/>
    <col width="16" customWidth="1" min="4" max="4"/>
    <col width="20" customWidth="1" min="5" max="5"/>
  </cols>
  <sheetData>
    <row r="1">
      <c r="A1" s="1" t="inlineStr">
        <is>
          <t>항목 이름 확인용 — 숫자가 나오는 칸이 맞는 항목입니다(경제지표는 문서에 예시가 없어 후보를 시험).</t>
        </is>
      </c>
    </row>
    <row r="3">
      <c r="A3" s="3" t="inlineStr">
        <is>
          <t>시험</t>
        </is>
      </c>
      <c r="B3" s="3" t="inlineStr">
        <is>
          <t>구분</t>
        </is>
      </c>
      <c r="C3" s="3" t="inlineStr">
        <is>
          <t>코드</t>
        </is>
      </c>
      <c r="D3" s="3" t="inlineStr">
        <is>
          <t>항목</t>
        </is>
      </c>
      <c r="E3" s="3" t="inlineStr">
        <is>
          <t>결과</t>
        </is>
      </c>
    </row>
    <row r="4">
      <c r="A4" s="7" t="inlineStr">
        <is>
          <t>ECO 값</t>
        </is>
      </c>
      <c r="B4" s="7" t="inlineStr">
        <is>
          <t>ECO</t>
        </is>
      </c>
      <c r="C4" s="7" t="inlineStr">
        <is>
          <t>701978</t>
        </is>
      </c>
      <c r="D4" s="7" t="inlineStr">
        <is>
          <t>현재가_월</t>
        </is>
      </c>
      <c r="E4" s="7">
        <f>IFERROR(_xll.IMDP(B4,C4,D4),"오류")</f>
        <v/>
      </c>
    </row>
    <row r="5">
      <c r="A5" s="4" t="inlineStr">
        <is>
          <t>ECO 일자</t>
        </is>
      </c>
      <c r="B5" s="4" t="inlineStr">
        <is>
          <t>ECO</t>
        </is>
      </c>
      <c r="C5" s="4" t="inlineStr">
        <is>
          <t>701978</t>
        </is>
      </c>
      <c r="D5" s="4" t="inlineStr">
        <is>
          <t>DATE_월</t>
        </is>
      </c>
      <c r="E5" s="4">
        <f>IFERROR(_xll.IMDP(B5,C5,D5),"오류")</f>
        <v/>
      </c>
    </row>
    <row r="6">
      <c r="A6" s="4" t="inlineStr">
        <is>
          <t>ECO 전년비</t>
        </is>
      </c>
      <c r="B6" s="4" t="inlineStr">
        <is>
          <t>ECO</t>
        </is>
      </c>
      <c r="C6" s="4" t="inlineStr">
        <is>
          <t>135012</t>
        </is>
      </c>
      <c r="D6" s="4" t="inlineStr">
        <is>
          <t>전년비_월</t>
        </is>
      </c>
      <c r="E6" s="4">
        <f>IFERROR(_xll.IMDP(B6,C6,D6),"오류")</f>
        <v/>
      </c>
    </row>
    <row r="7">
      <c r="A7" s="4" t="inlineStr">
        <is>
          <t>IR 값</t>
        </is>
      </c>
      <c r="B7" s="4" t="inlineStr">
        <is>
          <t>IR</t>
        </is>
      </c>
      <c r="C7" s="4" t="inlineStr">
        <is>
          <t>BONDAVG01</t>
        </is>
      </c>
      <c r="D7" s="4" t="inlineStr">
        <is>
          <t>3년이하(당일)</t>
        </is>
      </c>
      <c r="E7" s="4">
        <f>IFERROR(_xll.IMDP(B7,C7,D7),"오류")</f>
        <v/>
      </c>
    </row>
    <row r="8">
      <c r="A8" s="4" t="inlineStr">
        <is>
          <t>IR 일자</t>
        </is>
      </c>
      <c r="B8" s="4" t="inlineStr">
        <is>
          <t>IR</t>
        </is>
      </c>
      <c r="C8" s="4" t="inlineStr">
        <is>
          <t>BONDAVG01</t>
        </is>
      </c>
      <c r="D8" s="4" t="inlineStr">
        <is>
          <t>날짜(당일)</t>
        </is>
      </c>
      <c r="E8" s="4">
        <f>IFERROR(_xll.IMDP(B8,C8,D8),"오류")</f>
        <v/>
      </c>
    </row>
    <row r="9">
      <c r="A9" s="4" t="inlineStr">
        <is>
          <t>FX 값</t>
        </is>
      </c>
      <c r="B9" s="4" t="inlineStr">
        <is>
          <t>FX</t>
        </is>
      </c>
      <c r="C9" s="4" t="inlineStr">
        <is>
          <t>USDSP_SMBCB_EXT</t>
        </is>
      </c>
      <c r="D9" s="4" t="inlineStr">
        <is>
          <t>현재가</t>
        </is>
      </c>
      <c r="E9" s="4">
        <f>IFERROR(_xll.IMDP(B9,C9,D9),"오류")</f>
        <v/>
      </c>
    </row>
    <row r="10">
      <c r="A10" s="4" t="inlineStr">
        <is>
          <t>FX 스왑</t>
        </is>
      </c>
      <c r="B10" s="4" t="inlineStr">
        <is>
          <t>FX</t>
        </is>
      </c>
      <c r="C10" s="4" t="inlineStr">
        <is>
          <t>USD3M_SMBCB</t>
        </is>
      </c>
      <c r="D10" s="4" t="inlineStr">
        <is>
          <t>중간값</t>
        </is>
      </c>
      <c r="E10" s="4">
        <f>IFERROR(_xll.IMDP(B10,C10,D10),"오류")</f>
        <v/>
      </c>
    </row>
    <row r="11">
      <c r="A11" s="4" t="inlineStr">
        <is>
          <t>FX 일자</t>
        </is>
      </c>
      <c r="B11" s="4" t="inlineStr">
        <is>
          <t>FX</t>
        </is>
      </c>
      <c r="C11" s="4" t="inlineStr">
        <is>
          <t>USD3M_SMBCB</t>
        </is>
      </c>
      <c r="D11" s="4" t="inlineStr">
        <is>
          <t>거래일</t>
        </is>
      </c>
      <c r="E11" s="4">
        <f>IFERROR(_xll.IMDP(B11,C11,D11),"오류")</f>
        <v/>
      </c>
    </row>
    <row r="12">
      <c r="A12" s="4" t="inlineStr">
        <is>
          <t>FRN 값</t>
        </is>
      </c>
      <c r="B12" s="4" t="inlineStr">
        <is>
          <t>FRN</t>
        </is>
      </c>
      <c r="C12" s="4" t="inlineStr">
        <is>
          <t>IRR:TED</t>
        </is>
      </c>
      <c r="D12" s="4" t="inlineStr">
        <is>
          <t>현재가</t>
        </is>
      </c>
      <c r="E12" s="4">
        <f>IFERROR(_xll.IMDP(B12,C12,D12),"오류")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2026-10-21T02:29:38Z</dcterms:created>
  <dcterms:modified xmlns:dcterms="http://purl.org/dc/terms/" xmlns:xsi="http://www.w3.org/2001/XMLSchema-instance" xsi:type="dcterms:W3CDTF">2026-10-21T02:29:38Z</dcterms:modified>
</cp:coreProperties>
</file>